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6da75c92d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rimonio" sheetId="1" r:id="Re060a78b8442438c"/>
    <x:sheet xmlns:r="http://schemas.openxmlformats.org/officeDocument/2006/relationships" name="stipendio" sheetId="2" r:id="R417004de97ff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€#,##0.00_);[Red](€#,##0.00)"/>
    <x:numFmt numFmtId="166" formatCode="0.0%"/>
  </x:numFmts>
  <x:fonts count="12">
    <x:font>
      <x:sz val="11"/>
      <x:color theme="1"/>
      <x:name val="Calibri"/>
      <x:family val="2"/>
      <x:scheme val="minor"/>
    </x:font>
    <x:font>
      <x:b/>
      <x:sz val="18"/>
      <x:color rgb="00FFFFFF"/>
      <x:name val="Calibri"/>
    </x:font>
    <x:font>
      <x:sz val="11"/>
      <x:color rgb="00000000"/>
      <x:name val="Calibri"/>
    </x:font>
    <x:font>
      <x:b/>
      <x:sz val="11"/>
      <x:color rgb="000000FF"/>
      <x:name val="Calibri"/>
    </x:font>
    <x:font>
      <x:b/>
      <x:sz val="12"/>
      <x:color rgb="00FFFFFF"/>
      <x:name val="Calibri"/>
    </x:font>
    <x:font>
      <x:b/>
      <x:sz val="11"/>
      <x:color rgb="00FFFFFF"/>
      <x:name val="Calibri"/>
    </x:font>
    <x:font>
      <x:b/>
      <x:sz val="11"/>
      <x:name val="Calibri"/>
    </x:font>
    <x:font>
      <x:color rgb="00808080"/>
    </x:font>
    <x:font>
      <x:b/>
      <x:sz val="10"/>
      <x:color rgb="007030A0"/>
      <x:name val="Calibri"/>
    </x:font>
    <x:font>
      <x:sz val="10"/>
      <x:color rgb="007030A0"/>
      <x:name val="Calibri"/>
    </x:font>
    <x:font>
      <x:b/>
    </x:font>
    <x:font>
      <x:b/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2F5597"/>
      </x:patternFill>
    </x:fill>
    <x:fill>
      <x:patternFill patternType="solid">
        <x:fgColor rgb="00305496"/>
      </x:patternFill>
    </x:fill>
  </x:fills>
  <x:borders count="3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 style="thin">
        <x:color rgb="009E9E9E"/>
      </x:left>
      <x:right style="thin">
        <x:color rgb="009E9E9E"/>
      </x:right>
      <x:top style="medium">
        <x:color rgb="00000000"/>
      </x:top>
      <x:bottom style="thin">
        <x:color rgb="009E9E9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164" fontId="3" fillId="3" borderId="0" xfId="0" applyAlignment="1">
      <x:alignment horizontal="left" vertical="center"/>
    </x:xf>
    <x:xf numFmtId="49" fontId="3" fillId="3" borderId="0" xfId="0" applyAlignment="1">
      <x:alignment horizontal="left" vertical="center"/>
    </x:xf>
    <x:xf numFmtId="0" fontId="4" fillId="4" borderId="0" xfId="0" applyAlignment="1">
      <x:alignment horizontal="left" vertical="center"/>
    </x:xf>
    <x:xf numFmtId="0" fontId="5" fillId="5" borderId="1" xfId="0" applyAlignment="1">
      <x:alignment horizontal="center" vertical="center"/>
    </x:xf>
    <x:xf numFmtId="164" fontId="2" fillId="0" borderId="1" xfId="0" applyAlignment="1">
      <x:alignment horizontal="center" vertical="center"/>
    </x:xf>
    <x:xf numFmtId="0" fontId="2" fillId="0" borderId="1" xfId="0" applyAlignment="1">
      <x:alignment horizontal="left" vertical="center"/>
    </x:xf>
    <x:xf numFmtId="165" fontId="2" fillId="0" borderId="1" xfId="0" applyAlignment="1">
      <x:alignment horizontal="right" vertical="center"/>
    </x:xf>
    <x:xf numFmtId="0" fontId="2" fillId="0" borderId="1" xfId="0" applyAlignment="1">
      <x:alignment vertical="top" wrapText="1"/>
    </x:xf>
    <x:xf numFmtId="0" fontId="6" fillId="0" borderId="1" xfId="0" applyAlignment="1">
      <x:alignment horizontal="left" vertical="center"/>
    </x:xf>
    <x:xf numFmtId="165" fontId="6" fillId="0" borderId="1" xfId="0" applyAlignment="1">
      <x:alignment horizontal="right" vertical="center"/>
    </x:xf>
    <x:xf numFmtId="0" fontId="0" fillId="0" borderId="1" xfId="0" applyAlignment="1">
      <x:alignment horizontal="left" vertical="center"/>
    </x:xf>
    <x:xf numFmtId="165" fontId="0" fillId="0" borderId="1" xfId="0" applyAlignment="1">
      <x:alignment horizontal="right" vertical="center"/>
    </x:xf>
    <x:xf numFmtId="0" fontId="6" fillId="0" borderId="2" xfId="0"/>
    <x:xf numFmtId="165" fontId="6" fillId="0" borderId="2" xfId="0" applyAlignment="1">
      <x:alignment horizontal="right" vertical="center"/>
    </x:xf>
    <x:xf numFmtId="165" fontId="3" fillId="3" borderId="0" xfId="0" applyAlignment="1">
      <x:alignment horizontal="left" vertical="center"/>
    </x:xf>
    <x:xf numFmtId="0" fontId="8" fillId="0" borderId="0" xfId="0" applyAlignment="1">
      <x:alignment horizontal="left" vertical="center"/>
    </x:xf>
    <x:xf numFmtId="164" fontId="9" fillId="0" borderId="0" xfId="0" applyAlignment="1">
      <x:alignment horizontal="left" vertical="center"/>
    </x:xf>
    <x:xf numFmtId="0" fontId="7" fillId="0" borderId="0" xfId="0"/>
    <x:xf numFmtId="0" fontId="10" fillId="0" borderId="1" xfId="0" applyAlignment="1">
      <x:alignment horizontal="left" vertical="center"/>
    </x:xf>
    <x:xf numFmtId="165" fontId="10" fillId="0" borderId="1" xfId="0" applyAlignment="1">
      <x:alignment horizontal="right" vertical="center"/>
    </x:xf>
    <x:xf numFmtId="166" fontId="3" fillId="3" borderId="1" xfId="0" applyAlignment="1">
      <x:alignment horizontal="right" vertical="center"/>
    </x:xf>
    <x:xf numFmtId="0" fontId="10" fillId="0" borderId="2" xfId="0"/>
    <x:xf numFmtId="166" fontId="11" fillId="0" borderId="2" xfId="0" applyAlignment="1">
      <x:alignment horizontal="right" vertical="center"/>
    </x:xf>
    <x:xf numFmtId="165" fontId="10" fillId="0" borderId="2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fa02ee81246ba" /><Relationship Type="http://schemas.openxmlformats.org/officeDocument/2006/relationships/theme" Target="/xl/theme/theme1.xml" Id="R46180dff4a4e490f" /><Relationship Type="http://schemas.openxmlformats.org/officeDocument/2006/relationships/sharedStrings" Target="/xl/sharedStrings.xml" Id="R52122f8d12554c04" /><Relationship Type="http://schemas.openxmlformats.org/officeDocument/2006/relationships/worksheet" Target="/xl/worksheets/sheet1.xml" Id="Re060a78b8442438c" /><Relationship Type="http://schemas.openxmlformats.org/officeDocument/2006/relationships/worksheet" Target="/xl/worksheets/sheet2.xml" Id="R417004de97ff4bdf" /></Relationships>
</file>

<file path=xl/tables/table1.xml><?xml version="1.0" encoding="utf-8"?>
<x:table xmlns:x="http://schemas.openxmlformats.org/spreadsheetml/2006/main" id="1" name="tbl_patrimonio" displayName="tbl_patrimonio" ref="A5:J45" headerRowCount="1">
  <x:autoFilter ref="A5:J45"/>
  <x:tableColumns count="10">
    <x:tableColumn id="1" name="Fecha"/>
    <x:tableColumn id="2" name="Cuenta"/>
    <x:tableColumn id="3" name="Tipo"/>
    <x:tableColumn id="4" name="Categoría"/>
    <x:tableColumn id="5" name="Subcategoría"/>
    <x:tableColumn id="6" name="Institución"/>
    <x:tableColumn id="7" name="Moneda"/>
    <x:tableColumn id="8" name="Valor"/>
    <x:tableColumn id="9" name="Notas"/>
    <x:tableColumn id="10" name="Mes"/>
  </x:tableColumns>
  <x:tableStyleInfo name="TableStyleMedium9" showRowStripes="1"/>
</x:table>
</file>

<file path=xl/tables/table2.xml><?xml version="1.0" encoding="utf-8"?>
<x:table xmlns:x="http://schemas.openxmlformats.org/spreadsheetml/2006/main" id="2" name="tbl_stipendio" displayName="tbl_stipendio" ref="A5:J65" headerRowCount="1">
  <x:autoFilter ref="A5:J65"/>
  <x:tableColumns count="10">
    <x:tableColumn id="1" name="Fecha"/>
    <x:tableColumn id="2" name="Descripción"/>
    <x:tableColumn id="3" name="Tipo"/>
    <x:tableColumn id="4" name="Categoría"/>
    <x:tableColumn id="5" name="Subcategoría"/>
    <x:tableColumn id="6" name="Método"/>
    <x:tableColumn id="7" name="Cuenta"/>
    <x:tableColumn id="8" name="Monto"/>
    <x:tableColumn id="9" name="Notas"/>
    <x:tableColumn id="10" name="M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989f27d4a241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a99b09700045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10" customWidth="1"/>
    <x:col min="4" max="4" width="14" customWidth="1"/>
    <x:col min="5" max="5" width="18" customWidth="1"/>
    <x:col min="6" max="6" width="12" customWidth="1"/>
    <x:col min="7" max="7" width="8" customWidth="1"/>
    <x:col min="8" max="8" width="12" customWidth="1"/>
    <x:col min="9" max="9" width="18" customWidth="1"/>
    <x:col min="10" max="10" width="9" customWidth="1"/>
    <x:col min="11" max="11" width="18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</x:cols>
  <x:sheetData>
    <x:row r="1" ht="28" customHeight="1">
      <x:c r="A1" s="1" t="inlineStr">
        <x:is>
          <x:t xml:space="preserve">PATRIMONIO — Demo (datos + resumen tipo tabla dinámica)</x:t>
        </x:is>
      </x:c>
    </x:row>
    <x:row r="2">
      <x:c r="A2" s="2" t="inlineStr">
        <x:is>
          <x:t xml:space="preserve">Fecha de corte</x:t>
        </x:is>
      </x:c>
      <x:c r="B2" s="3" t="n">
        <x:v>46071</x:v>
      </x:c>
    </x:row>
    <x:row r="3">
      <x:c r="A3" s="2" t="inlineStr">
        <x:is>
          <x:t xml:space="preserve">Moneda base</x:t>
        </x:is>
      </x:c>
      <x:c r="B3" s="4" t="inlineStr">
        <x:is>
          <x:t xml:space="preserve">EUR</x:t>
        </x:is>
      </x:c>
    </x:row>
    <x:row r="4" ht="20" customHeight="1">
      <x:c r="A4" s="5" t="inlineStr">
        <x:is>
          <x:t xml:space="preserve">DATOS (movimientos / saldos)</x:t>
        </x:is>
      </x:c>
      <x:c r="K4" s="5" t="inlineStr">
        <x:is>
          <x:t xml:space="preserve">RESUMEN</x:t>
        </x:is>
      </x:c>
    </x:row>
    <x:row r="5" ht="18" customHeight="1">
      <x:c r="A5" s="6" t="inlineStr">
        <x:is>
          <x:t xml:space="preserve">Fecha</x:t>
        </x:is>
      </x:c>
      <x:c r="B5" s="6" t="inlineStr">
        <x:is>
          <x:t xml:space="preserve">Cuenta</x:t>
        </x:is>
      </x:c>
      <x:c r="C5" s="6" t="inlineStr">
        <x:is>
          <x:t xml:space="preserve">Tipo</x:t>
        </x:is>
      </x:c>
      <x:c r="D5" s="6" t="inlineStr">
        <x:is>
          <x:t xml:space="preserve">Categoría</x:t>
        </x:is>
      </x:c>
      <x:c r="E5" s="6" t="inlineStr">
        <x:is>
          <x:t xml:space="preserve">Subcategoría</x:t>
        </x:is>
      </x:c>
      <x:c r="F5" s="6" t="inlineStr">
        <x:is>
          <x:t xml:space="preserve">Institución</x:t>
        </x:is>
      </x:c>
      <x:c r="G5" s="6" t="inlineStr">
        <x:is>
          <x:t xml:space="preserve">Moneda</x:t>
        </x:is>
      </x:c>
      <x:c r="H5" s="6" t="inlineStr">
        <x:is>
          <x:t xml:space="preserve">Valor</x:t>
        </x:is>
      </x:c>
      <x:c r="I5" s="6" t="inlineStr">
        <x:is>
          <x:t xml:space="preserve">Notas</x:t>
        </x:is>
      </x:c>
      <x:c r="J5" s="6" t="inlineStr">
        <x:is>
          <x:t xml:space="preserve">Mes</x:t>
        </x:is>
      </x:c>
      <x:c r="K5" s="6" t="inlineStr">
        <x:is>
          <x:t xml:space="preserve">KPI</x:t>
        </x:is>
      </x:c>
      <x:c r="L5" s="6" t="inlineStr">
        <x:is>
          <x:t xml:space="preserve">Valor</x:t>
        </x:is>
      </x:c>
    </x:row>
    <x:row r="6">
      <x:c r="A6" s="7" t="n">
        <x:v>45901</x:v>
      </x:c>
      <x:c r="B6" s="8" t="inlineStr">
        <x:is>
          <x:t xml:space="preserve">Efectivo</x:t>
        </x:is>
      </x:c>
      <x:c r="C6" s="8" t="inlineStr">
        <x:is>
          <x:t xml:space="preserve">Activo</x:t>
        </x:is>
      </x:c>
      <x:c r="D6" s="8" t="inlineStr">
        <x:is>
          <x:t xml:space="preserve">Bienes</x:t>
        </x:is>
      </x:c>
      <x:c r="E6" s="8" t="inlineStr">
        <x:is>
          <x:t xml:space="preserve">Electrónica</x:t>
        </x:is>
      </x:c>
      <x:c r="F6" s="8" t="inlineStr">
        <x:is>
          <x:t xml:space="preserve">Santander</x:t>
        </x:is>
      </x:c>
      <x:c r="G6" s="8" t="inlineStr">
        <x:is>
          <x:t xml:space="preserve">EUR</x:t>
        </x:is>
      </x:c>
      <x:c r="H6" s="9" t="n">
        <x:v>1580.83</x:v>
      </x:c>
      <x:c r="I6" s="10" t="inlineStr">
        <x:is>
          <x:t xml:space="preserve"/>
        </x:is>
      </x:c>
      <x:c r="J6" s="8" t="inlineStr">
        <x:is>
          <x:t xml:space="preserve">2025-09</x:t>
        </x:is>
      </x:c>
      <x:c r="K6" s="8" t="inlineStr">
        <x:is>
          <x:t xml:space="preserve">Total Activos</x:t>
        </x:is>
      </x:c>
      <x:c r="L6" s="9">
        <x:f>SUMIFS($H$6:$H$500,$C$6:$C$500,"Activo")</x:f>
        <x:v>77073.87</x:v>
      </x:c>
    </x:row>
    <x:row r="7">
      <x:c r="A7" s="7" t="n">
        <x:v>45908</x:v>
      </x:c>
      <x:c r="B7" s="8" t="inlineStr">
        <x:is>
          <x:t xml:space="preserve">Tarjeta crédito</x:t>
        </x:is>
      </x:c>
      <x:c r="C7" s="8" t="inlineStr">
        <x:is>
          <x:t xml:space="preserve">Pasivo</x:t>
        </x:is>
      </x:c>
      <x:c r="D7" s="8" t="inlineStr">
        <x:is>
          <x:t xml:space="preserve">Deuda</x:t>
        </x:is>
      </x:c>
      <x:c r="E7" s="8" t="inlineStr">
        <x:is>
          <x:t xml:space="preserve">Préstamo personal</x:t>
        </x:is>
      </x:c>
      <x:c r="F7" s="8" t="inlineStr">
        <x:is>
          <x:t xml:space="preserve">Visa</x:t>
        </x:is>
      </x:c>
      <x:c r="G7" s="8" t="inlineStr">
        <x:is>
          <x:t xml:space="preserve">EUR</x:t>
        </x:is>
      </x:c>
      <x:c r="H7" s="9" t="n">
        <x:v>3830.7</x:v>
      </x:c>
      <x:c r="I7" s="10" t="inlineStr">
        <x:is>
          <x:t xml:space="preserve">saldo</x:t>
        </x:is>
      </x:c>
      <x:c r="J7" s="8" t="inlineStr">
        <x:is>
          <x:t xml:space="preserve">2025-09</x:t>
        </x:is>
      </x:c>
      <x:c r="K7" s="8" t="inlineStr">
        <x:is>
          <x:t xml:space="preserve">Total Pasivos</x:t>
        </x:is>
      </x:c>
      <x:c r="L7" s="9">
        <x:f>SUMIFS($H$6:$H$500,$C$6:$C$500,"Pasivo")</x:f>
        <x:v>40506.479999999996</x:v>
      </x:c>
    </x:row>
    <x:row r="8">
      <x:c r="A8" s="7" t="n">
        <x:v>45911</x:v>
      </x:c>
      <x:c r="B8" s="8" t="inlineStr">
        <x:is>
          <x:t xml:space="preserve">Hipoteca</x:t>
        </x:is>
      </x:c>
      <x:c r="C8" s="8" t="inlineStr">
        <x:is>
          <x:t xml:space="preserve">Pasivo</x:t>
        </x:is>
      </x:c>
      <x:c r="D8" s="8" t="inlineStr">
        <x:is>
          <x:t xml:space="preserve">Deuda</x:t>
        </x:is>
      </x:c>
      <x:c r="E8" s="8" t="inlineStr">
        <x:is>
          <x:t xml:space="preserve">Tarjeta crédito</x:t>
        </x:is>
      </x:c>
      <x:c r="F8" s="8" t="inlineStr">
        <x:is>
          <x:t xml:space="preserve">Santander</x:t>
        </x:is>
      </x:c>
      <x:c r="G8" s="8" t="inlineStr">
        <x:is>
          <x:t xml:space="preserve">EUR</x:t>
        </x:is>
      </x:c>
      <x:c r="H8" s="9" t="n">
        <x:v>6140.11</x:v>
      </x:c>
      <x:c r="I8" s="10" t="inlineStr">
        <x:is>
          <x:t xml:space="preserve">ajuste</x:t>
        </x:is>
      </x:c>
      <x:c r="J8" s="8" t="inlineStr">
        <x:is>
          <x:t xml:space="preserve">2025-09</x:t>
        </x:is>
      </x:c>
      <x:c r="K8" s="11" t="inlineStr">
        <x:is>
          <x:t xml:space="preserve">Patrimonio Neto</x:t>
        </x:is>
      </x:c>
      <x:c r="L8" s="12">
        <x:f>L6-L7</x:f>
        <x:v>36567.39</x:v>
      </x:c>
    </x:row>
    <x:row r="9">
      <x:c r="A9" s="7" t="n">
        <x:v>45914</x:v>
      </x:c>
      <x:c r="B9" s="8" t="inlineStr">
        <x:is>
          <x:t xml:space="preserve">Broker</x:t>
        </x:is>
      </x:c>
      <x:c r="C9" s="8" t="inlineStr">
        <x:is>
          <x:t xml:space="preserve">Activo</x:t>
        </x:is>
      </x:c>
      <x:c r="D9" s="8" t="inlineStr">
        <x:is>
          <x:t xml:space="preserve">Bienes</x:t>
        </x:is>
      </x:c>
      <x:c r="E9" s="8" t="inlineStr">
        <x:is>
          <x:t xml:space="preserve">Electrónica</x:t>
        </x:is>
      </x:c>
      <x:c r="F9" s="8" t="inlineStr">
        <x:is>
          <x:t xml:space="preserve">DeGiro</x:t>
        </x:is>
      </x:c>
      <x:c r="G9" s="8" t="inlineStr">
        <x:is>
          <x:t xml:space="preserve">EUR</x:t>
        </x:is>
      </x:c>
      <x:c r="H9" s="9" t="n">
        <x:v>3600.54</x:v>
      </x:c>
      <x:c r="I9" s="10" t="inlineStr">
        <x:is>
          <x:t xml:space="preserve">compra</x:t>
        </x:is>
      </x:c>
      <x:c r="J9" s="8" t="inlineStr">
        <x:is>
          <x:t xml:space="preserve">2025-09</x:t>
        </x:is>
      </x:c>
    </x:row>
    <x:row r="10">
      <x:c r="A10" s="7" t="n">
        <x:v>45922</x:v>
      </x:c>
      <x:c r="B10" s="8" t="inlineStr">
        <x:is>
          <x:t xml:space="preserve">Efectivo</x:t>
        </x:is>
      </x:c>
      <x:c r="C10" s="8" t="inlineStr">
        <x:is>
          <x:t xml:space="preserve">Activo</x:t>
        </x:is>
      </x:c>
      <x:c r="D10" s="8" t="inlineStr">
        <x:is>
          <x:t xml:space="preserve">Banco</x:t>
        </x:is>
      </x:c>
      <x:c r="E10" s="8" t="inlineStr">
        <x:is>
          <x:t xml:space="preserve">Cuenta corriente</x:t>
        </x:is>
      </x:c>
      <x:c r="F10" s="8" t="inlineStr">
        <x:is>
          <x:t xml:space="preserve">DeGiro</x:t>
        </x:is>
      </x:c>
      <x:c r="G10" s="8" t="inlineStr">
        <x:is>
          <x:t xml:space="preserve">EUR</x:t>
        </x:is>
      </x:c>
      <x:c r="H10" s="9" t="n">
        <x:v>2980.4</x:v>
      </x:c>
      <x:c r="I10" s="10" t="inlineStr">
        <x:is>
          <x:t xml:space="preserve">saldo</x:t>
        </x:is>
      </x:c>
      <x:c r="J10" s="8" t="inlineStr">
        <x:is>
          <x:t xml:space="preserve">2025-09</x:t>
        </x:is>
      </x:c>
    </x:row>
    <x:row r="11">
      <x:c r="A11" s="7" t="n">
        <x:v>45925</x:v>
      </x:c>
      <x:c r="B11" s="8" t="inlineStr">
        <x:is>
          <x:t xml:space="preserve">Banco (corriente)</x:t>
        </x:is>
      </x:c>
      <x:c r="C11" s="8" t="inlineStr">
        <x:is>
          <x:t xml:space="preserve">Activo</x:t>
        </x:is>
      </x:c>
      <x:c r="D11" s="8" t="inlineStr">
        <x:is>
          <x:t xml:space="preserve">Efectivo</x:t>
        </x:is>
      </x:c>
      <x:c r="E11" s="8" t="inlineStr">
        <x:is>
          <x:t xml:space="preserve">Cash</x:t>
        </x:is>
      </x:c>
      <x:c r="F11" s="8" t="inlineStr">
        <x:is>
          <x:t xml:space="preserve">Intesa</x:t>
        </x:is>
      </x:c>
      <x:c r="G11" s="8" t="inlineStr">
        <x:is>
          <x:t xml:space="preserve">EUR</x:t>
        </x:is>
      </x:c>
      <x:c r="H11" s="9" t="n">
        <x:v>4098.18</x:v>
      </x:c>
      <x:c r="I11" s="10" t="inlineStr">
        <x:is>
          <x:t xml:space="preserve"/>
        </x:is>
      </x:c>
      <x:c r="J11" s="8" t="inlineStr">
        <x:is>
          <x:t xml:space="preserve">2025-09</x:t>
        </x:is>
      </x:c>
      <x:c r="K11" s="5" t="inlineStr">
        <x:is>
          <x:t xml:space="preserve">Por Categoría (Activos / Pasivos / Neto)</x:t>
        </x:is>
      </x:c>
      <x:c r="P11" s="5" t="inlineStr">
        <x:is>
          <x:t xml:space="preserve">Por Institución (Total Valor)</x:t>
        </x:is>
      </x:c>
    </x:row>
    <x:row r="12">
      <x:c r="A12" s="7" t="n">
        <x:v>45927</x:v>
      </x:c>
      <x:c r="B12" s="8" t="inlineStr">
        <x:is>
          <x:t xml:space="preserve">Broker</x:t>
        </x:is>
      </x:c>
      <x:c r="C12" s="8" t="inlineStr">
        <x:is>
          <x:t xml:space="preserve">Activo</x:t>
        </x:is>
      </x:c>
      <x:c r="D12" s="8" t="inlineStr">
        <x:is>
          <x:t xml:space="preserve">Banco</x:t>
        </x:is>
      </x:c>
      <x:c r="E12" s="8" t="inlineStr">
        <x:is>
          <x:t xml:space="preserve">Cuenta corriente</x:t>
        </x:is>
      </x:c>
      <x:c r="F12" s="8" t="inlineStr">
        <x:is>
          <x:t xml:space="preserve">N26</x:t>
        </x:is>
      </x:c>
      <x:c r="G12" s="8" t="inlineStr">
        <x:is>
          <x:t xml:space="preserve">EUR</x:t>
        </x:is>
      </x:c>
      <x:c r="H12" s="9" t="n">
        <x:v>1552.93</x:v>
      </x:c>
      <x:c r="I12" s="10" t="inlineStr">
        <x:is>
          <x:t xml:space="preserve">saldo</x:t>
        </x:is>
      </x:c>
      <x:c r="J12" s="8" t="inlineStr">
        <x:is>
          <x:t xml:space="preserve">2025-09</x:t>
        </x:is>
      </x:c>
      <x:c r="K12" s="6" t="inlineStr">
        <x:is>
          <x:t xml:space="preserve">Categoría</x:t>
        </x:is>
      </x:c>
      <x:c r="L12" s="6" t="inlineStr">
        <x:is>
          <x:t xml:space="preserve">Activos</x:t>
        </x:is>
      </x:c>
      <x:c r="M12" s="6" t="inlineStr">
        <x:is>
          <x:t xml:space="preserve">Pasivos</x:t>
        </x:is>
      </x:c>
      <x:c r="N12" s="6" t="inlineStr">
        <x:is>
          <x:t xml:space="preserve">Neto</x:t>
        </x:is>
      </x:c>
      <x:c r="P12" s="6" t="inlineStr">
        <x:is>
          <x:t xml:space="preserve">Institución</x:t>
        </x:is>
      </x:c>
      <x:c r="Q12" s="6" t="inlineStr">
        <x:is>
          <x:t xml:space="preserve">Activos</x:t>
        </x:is>
      </x:c>
      <x:c r="R12" s="6" t="inlineStr">
        <x:is>
          <x:t xml:space="preserve">Pasivos</x:t>
        </x:is>
      </x:c>
      <x:c r="S12" s="6" t="inlineStr">
        <x:is>
          <x:t xml:space="preserve">Neto</x:t>
        </x:is>
      </x:c>
    </x:row>
    <x:row r="13">
      <x:c r="A13" s="7" t="n">
        <x:v>45931</x:v>
      </x:c>
      <x:c r="B13" s="8" t="inlineStr">
        <x:is>
          <x:t xml:space="preserve">Banco (corriente)</x:t>
        </x:is>
      </x:c>
      <x:c r="C13" s="8" t="inlineStr">
        <x:is>
          <x:t xml:space="preserve">Activo</x:t>
        </x:is>
      </x:c>
      <x:c r="D13" s="8" t="inlineStr">
        <x:is>
          <x:t xml:space="preserve">Banco</x:t>
        </x:is>
      </x:c>
      <x:c r="E13" s="8" t="inlineStr">
        <x:is>
          <x:t xml:space="preserve">Cuenta corriente</x:t>
        </x:is>
      </x:c>
      <x:c r="F13" s="8" t="inlineStr">
        <x:is>
          <x:t xml:space="preserve">DeGiro</x:t>
        </x:is>
      </x:c>
      <x:c r="G13" s="8" t="inlineStr">
        <x:is>
          <x:t xml:space="preserve">EUR</x:t>
        </x:is>
      </x:c>
      <x:c r="H13" s="9" t="n">
        <x:v>3419.28</x:v>
      </x:c>
      <x:c r="I13" s="10" t="inlineStr">
        <x:is>
          <x:t xml:space="preserve">compra</x:t>
        </x:is>
      </x:c>
      <x:c r="J13" s="8" t="inlineStr">
        <x:is>
          <x:t xml:space="preserve">2025-10</x:t>
        </x:is>
      </x:c>
      <x:c r="K13" s="13" t="inlineStr">
        <x:is>
          <x:t xml:space="preserve">Efectivo</x:t>
        </x:is>
      </x:c>
      <x:c r="L13" s="14">
        <x:f>SUMIFS($H$6:$H$500,$C$6:$C$500,"Activo",$D$6:$D$500,$K13)</x:f>
        <x:v>10429.42</x:v>
      </x:c>
      <x:c r="M13" s="14">
        <x:f>SUMIFS($H$6:$H$500,$C$6:$C$500,"Pasivo",$D$6:$D$500,$K13)</x:f>
        <x:v>0</x:v>
      </x:c>
      <x:c r="N13" s="14">
        <x:f>L13-M13</x:f>
        <x:v>10429.42</x:v>
      </x:c>
      <x:c r="P13" s="13" t="inlineStr">
        <x:is>
          <x:t xml:space="preserve">Intesa</x:t>
        </x:is>
      </x:c>
      <x:c r="Q13" s="14">
        <x:f>SUMIFS($H$6:$H$500,$C$6:$C$500,"Activo",$F$6:$F$500,$P13)</x:f>
        <x:v>24819.089999999997</x:v>
      </x:c>
      <x:c r="R13" s="14">
        <x:f>SUMIFS($H$6:$H$500,$C$6:$C$500,"Pasivo",$F$6:$F$500,$P13)</x:f>
        <x:v>3188.5</x:v>
      </x:c>
      <x:c r="S13" s="14">
        <x:f>Q13-R13</x:f>
        <x:v>21630.589999999997</x:v>
      </x:c>
    </x:row>
    <x:row r="14">
      <x:c r="A14" s="7" t="n">
        <x:v>45931</x:v>
      </x:c>
      <x:c r="B14" s="8" t="inlineStr">
        <x:is>
          <x:t xml:space="preserve">Préstamo</x:t>
        </x:is>
      </x:c>
      <x:c r="C14" s="8" t="inlineStr">
        <x:is>
          <x:t xml:space="preserve">Pasivo</x:t>
        </x:is>
      </x:c>
      <x:c r="D14" s="8" t="inlineStr">
        <x:is>
          <x:t xml:space="preserve">Deuda</x:t>
        </x:is>
      </x:c>
      <x:c r="E14" s="8" t="inlineStr">
        <x:is>
          <x:t xml:space="preserve">Hipoteca</x:t>
        </x:is>
      </x:c>
      <x:c r="F14" s="8" t="inlineStr">
        <x:is>
          <x:t xml:space="preserve">UniCredit</x:t>
        </x:is>
      </x:c>
      <x:c r="G14" s="8" t="inlineStr">
        <x:is>
          <x:t xml:space="preserve">EUR</x:t>
        </x:is>
      </x:c>
      <x:c r="H14" s="9" t="n">
        <x:v>6026.11</x:v>
      </x:c>
      <x:c r="I14" s="10" t="inlineStr">
        <x:is>
          <x:t xml:space="preserve">compra</x:t>
        </x:is>
      </x:c>
      <x:c r="J14" s="8" t="inlineStr">
        <x:is>
          <x:t xml:space="preserve">2025-10</x:t>
        </x:is>
      </x:c>
      <x:c r="K14" s="13" t="inlineStr">
        <x:is>
          <x:t xml:space="preserve">Banco</x:t>
        </x:is>
      </x:c>
      <x:c r="L14" s="14">
        <x:f>SUMIFS($H$6:$H$500,$C$6:$C$500,"Activo",$D$6:$D$500,$K14)</x:f>
        <x:v>37295.32</x:v>
      </x:c>
      <x:c r="M14" s="14">
        <x:f>SUMIFS($H$6:$H$500,$C$6:$C$500,"Pasivo",$D$6:$D$500,$K14)</x:f>
        <x:v>0</x:v>
      </x:c>
      <x:c r="N14" s="14">
        <x:f>L14-M14</x:f>
        <x:v>37295.32</x:v>
      </x:c>
      <x:c r="P14" s="13" t="inlineStr">
        <x:is>
          <x:t xml:space="preserve">UniCredit</x:t>
        </x:is>
      </x:c>
      <x:c r="Q14" s="14">
        <x:f>SUMIFS($H$6:$H$500,$C$6:$C$500,"Activo",$F$6:$F$500,$P14)</x:f>
        <x:v>7370.01</x:v>
      </x:c>
      <x:c r="R14" s="14">
        <x:f>SUMIFS($H$6:$H$500,$C$6:$C$500,"Pasivo",$F$6:$F$500,$P14)</x:f>
        <x:v>6026.11</x:v>
      </x:c>
      <x:c r="S14" s="14">
        <x:f>Q14-R14</x:f>
        <x:v>1343.9000000000005</x:v>
      </x:c>
    </x:row>
    <x:row r="15">
      <x:c r="A15" s="7" t="n">
        <x:v>45932</x:v>
      </x:c>
      <x:c r="B15" s="8" t="inlineStr">
        <x:is>
          <x:t xml:space="preserve">Tarjeta crédito</x:t>
        </x:is>
      </x:c>
      <x:c r="C15" s="8" t="inlineStr">
        <x:is>
          <x:t xml:space="preserve">Pasivo</x:t>
        </x:is>
      </x:c>
      <x:c r="D15" s="8" t="inlineStr">
        <x:is>
          <x:t xml:space="preserve">Deuda</x:t>
        </x:is>
      </x:c>
      <x:c r="E15" s="8" t="inlineStr">
        <x:is>
          <x:t xml:space="preserve">Hipoteca</x:t>
        </x:is>
      </x:c>
      <x:c r="F15" s="8" t="inlineStr">
        <x:is>
          <x:t xml:space="preserve">N26</x:t>
        </x:is>
      </x:c>
      <x:c r="G15" s="8" t="inlineStr">
        <x:is>
          <x:t xml:space="preserve">EUR</x:t>
        </x:is>
      </x:c>
      <x:c r="H15" s="9" t="n">
        <x:v>5056.72</x:v>
      </x:c>
      <x:c r="I15" s="10" t="inlineStr">
        <x:is>
          <x:t xml:space="preserve">saldo</x:t>
        </x:is>
      </x:c>
      <x:c r="J15" s="8" t="inlineStr">
        <x:is>
          <x:t xml:space="preserve">2025-10</x:t>
        </x:is>
      </x:c>
      <x:c r="K15" s="13" t="inlineStr">
        <x:is>
          <x:t xml:space="preserve">Inversiones</x:t>
        </x:is>
      </x:c>
      <x:c r="L15" s="14">
        <x:f>SUMIFS($H$6:$H$500,$C$6:$C$500,"Activo",$D$6:$D$500,$K15)</x:f>
        <x:v>12149.58</x:v>
      </x:c>
      <x:c r="M15" s="14">
        <x:f>SUMIFS($H$6:$H$500,$C$6:$C$500,"Pasivo",$D$6:$D$500,$K15)</x:f>
        <x:v>0</x:v>
      </x:c>
      <x:c r="N15" s="14">
        <x:f>L15-M15</x:f>
        <x:v>12149.58</x:v>
      </x:c>
      <x:c r="P15" s="13" t="inlineStr">
        <x:is>
          <x:t xml:space="preserve">Revolut</x:t>
        </x:is>
      </x:c>
      <x:c r="Q15" s="14">
        <x:f>SUMIFS($H$6:$H$500,$C$6:$C$500,"Activo",$F$6:$F$500,$P15)</x:f>
        <x:v>257.29</x:v>
      </x:c>
      <x:c r="R15" s="14">
        <x:f>SUMIFS($H$6:$H$500,$C$6:$C$500,"Pasivo",$F$6:$F$500,$P15)</x:f>
        <x:v>1679.35</x:v>
      </x:c>
      <x:c r="S15" s="14">
        <x:f>Q15-R15</x:f>
        <x:v>-1422.06</x:v>
      </x:c>
    </x:row>
    <x:row r="16">
      <x:c r="A16" s="7" t="n">
        <x:v>45934</x:v>
      </x:c>
      <x:c r="B16" s="8" t="inlineStr">
        <x:is>
          <x:t xml:space="preserve">Préstamo</x:t>
        </x:is>
      </x:c>
      <x:c r="C16" s="8" t="inlineStr">
        <x:is>
          <x:t xml:space="preserve">Pasivo</x:t>
        </x:is>
      </x:c>
      <x:c r="D16" s="8" t="inlineStr">
        <x:is>
          <x:t xml:space="preserve">Deuda</x:t>
        </x:is>
      </x:c>
      <x:c r="E16" s="8" t="inlineStr">
        <x:is>
          <x:t xml:space="preserve">Préstamo personal</x:t>
        </x:is>
      </x:c>
      <x:c r="F16" s="8" t="inlineStr">
        <x:is>
          <x:t xml:space="preserve">Intesa</x:t>
        </x:is>
      </x:c>
      <x:c r="G16" s="8" t="inlineStr">
        <x:is>
          <x:t xml:space="preserve">EUR</x:t>
        </x:is>
      </x:c>
      <x:c r="H16" s="9" t="n">
        <x:v>3188.5</x:v>
      </x:c>
      <x:c r="I16" s="10" t="inlineStr">
        <x:is>
          <x:t xml:space="preserve">mensual</x:t>
        </x:is>
      </x:c>
      <x:c r="J16" s="8" t="inlineStr">
        <x:is>
          <x:t xml:space="preserve">2025-10</x:t>
        </x:is>
      </x:c>
      <x:c r="K16" s="13" t="inlineStr">
        <x:is>
          <x:t xml:space="preserve">Bienes</x:t>
        </x:is>
      </x:c>
      <x:c r="L16" s="14">
        <x:f>SUMIFS($H$6:$H$500,$C$6:$C$500,"Activo",$D$6:$D$500,$K16)</x:f>
        <x:v>17199.55</x:v>
      </x:c>
      <x:c r="M16" s="14">
        <x:f>SUMIFS($H$6:$H$500,$C$6:$C$500,"Pasivo",$D$6:$D$500,$K16)</x:f>
        <x:v>0</x:v>
      </x:c>
      <x:c r="N16" s="14">
        <x:f>L16-M16</x:f>
        <x:v>17199.55</x:v>
      </x:c>
      <x:c r="P16" s="13" t="inlineStr">
        <x:is>
          <x:t xml:space="preserve">DeGiro</x:t>
        </x:is>
      </x:c>
      <x:c r="Q16" s="14">
        <x:f>SUMIFS($H$6:$H$500,$C$6:$C$500,"Activo",$F$6:$F$500,$P16)</x:f>
        <x:v>20271.74</x:v>
      </x:c>
      <x:c r="R16" s="14">
        <x:f>SUMIFS($H$6:$H$500,$C$6:$C$500,"Pasivo",$F$6:$F$500,$P16)</x:f>
        <x:v>0</x:v>
      </x:c>
      <x:c r="S16" s="14">
        <x:f>Q16-R16</x:f>
        <x:v>20271.74</x:v>
      </x:c>
    </x:row>
    <x:row r="17">
      <x:c r="A17" s="7" t="n">
        <x:v>45937</x:v>
      </x:c>
      <x:c r="B17" s="8" t="inlineStr">
        <x:is>
          <x:t xml:space="preserve">Banco (corriente)</x:t>
        </x:is>
      </x:c>
      <x:c r="C17" s="8" t="inlineStr">
        <x:is>
          <x:t xml:space="preserve">Activo</x:t>
        </x:is>
      </x:c>
      <x:c r="D17" s="8" t="inlineStr">
        <x:is>
          <x:t xml:space="preserve">Inversiones</x:t>
        </x:is>
      </x:c>
      <x:c r="E17" s="8" t="inlineStr">
        <x:is>
          <x:t xml:space="preserve">Acciones</x:t>
        </x:is>
      </x:c>
      <x:c r="F17" s="8" t="inlineStr">
        <x:is>
          <x:t xml:space="preserve">Intesa</x:t>
        </x:is>
      </x:c>
      <x:c r="G17" s="8" t="inlineStr">
        <x:is>
          <x:t xml:space="preserve">EUR</x:t>
        </x:is>
      </x:c>
      <x:c r="H17" s="9" t="n">
        <x:v>1422.74</x:v>
      </x:c>
      <x:c r="I17" s="10" t="inlineStr">
        <x:is>
          <x:t xml:space="preserve">saldo</x:t>
        </x:is>
      </x:c>
      <x:c r="J17" s="8" t="inlineStr">
        <x:is>
          <x:t xml:space="preserve">2025-10</x:t>
        </x:is>
      </x:c>
      <x:c r="K17" s="13" t="inlineStr">
        <x:is>
          <x:t xml:space="preserve">Deuda</x:t>
        </x:is>
      </x:c>
      <x:c r="L17" s="14">
        <x:f>SUMIFS($H$6:$H$500,$C$6:$C$500,"Activo",$D$6:$D$500,$K17)</x:f>
        <x:v>0</x:v>
      </x:c>
      <x:c r="M17" s="14">
        <x:f>SUMIFS($H$6:$H$500,$C$6:$C$500,"Pasivo",$D$6:$D$500,$K17)</x:f>
        <x:v>40506.479999999996</x:v>
      </x:c>
      <x:c r="N17" s="14">
        <x:f>L17-M17</x:f>
        <x:v>-40506.479999999996</x:v>
      </x:c>
      <x:c r="P17" s="13" t="inlineStr">
        <x:is>
          <x:t xml:space="preserve">N26</x:t>
        </x:is>
      </x:c>
      <x:c r="Q17" s="14">
        <x:f>SUMIFS($H$6:$H$500,$C$6:$C$500,"Activo",$F$6:$F$500,$P17)</x:f>
        <x:v>8836.189999999999</x:v>
      </x:c>
      <x:c r="R17" s="14">
        <x:f>SUMIFS($H$6:$H$500,$C$6:$C$500,"Pasivo",$F$6:$F$500,$P17)</x:f>
        <x:v>5056.72</x:v>
      </x:c>
      <x:c r="S17" s="14">
        <x:f>Q17-R17</x:f>
        <x:v>3779.4699999999984</x:v>
      </x:c>
    </x:row>
    <x:row r="18">
      <x:c r="A18" s="7" t="n">
        <x:v>45939</x:v>
      </x:c>
      <x:c r="B18" s="8" t="inlineStr">
        <x:is>
          <x:t xml:space="preserve">Efectivo</x:t>
        </x:is>
      </x:c>
      <x:c r="C18" s="8" t="inlineStr">
        <x:is>
          <x:t xml:space="preserve">Activo</x:t>
        </x:is>
      </x:c>
      <x:c r="D18" s="8" t="inlineStr">
        <x:is>
          <x:t xml:space="preserve">Banco</x:t>
        </x:is>
      </x:c>
      <x:c r="E18" s="8" t="inlineStr">
        <x:is>
          <x:t xml:space="preserve">Cuenta ahorro</x:t>
        </x:is>
      </x:c>
      <x:c r="F18" s="8" t="inlineStr">
        <x:is>
          <x:t xml:space="preserve">Santander</x:t>
        </x:is>
      </x:c>
      <x:c r="G18" s="8" t="inlineStr">
        <x:is>
          <x:t xml:space="preserve">EUR</x:t>
        </x:is>
      </x:c>
      <x:c r="H18" s="9" t="n">
        <x:v>2781.13</x:v>
      </x:c>
      <x:c r="I18" s="10" t="inlineStr">
        <x:is>
          <x:t xml:space="preserve">mensual</x:t>
        </x:is>
      </x:c>
      <x:c r="J18" s="8" t="inlineStr">
        <x:is>
          <x:t xml:space="preserve">2025-10</x:t>
        </x:is>
      </x:c>
      <x:c r="K18" s="15" t="inlineStr">
        <x:is>
          <x:t xml:space="preserve">TOTAL</x:t>
        </x:is>
      </x:c>
      <x:c r="L18" s="16">
        <x:f>SUM(L13:L17)</x:f>
        <x:v>77073.87</x:v>
      </x:c>
      <x:c r="M18" s="16">
        <x:f>SUM(M13:M17)</x:f>
        <x:v>40506.479999999996</x:v>
      </x:c>
      <x:c r="N18" s="16">
        <x:f>SUM(N13:N17)</x:f>
        <x:v>36567.39</x:v>
      </x:c>
      <x:c r="P18" s="13" t="inlineStr">
        <x:is>
          <x:t xml:space="preserve">Visa</x:t>
        </x:is>
      </x:c>
      <x:c r="Q18" s="14">
        <x:f>SUMIFS($H$6:$H$500,$C$6:$C$500,"Activo",$F$6:$F$500,$P18)</x:f>
        <x:v>2150.73</x:v>
      </x:c>
      <x:c r="R18" s="14">
        <x:f>SUMIFS($H$6:$H$500,$C$6:$C$500,"Pasivo",$F$6:$F$500,$P18)</x:f>
        <x:v>10718.4</x:v>
      </x:c>
      <x:c r="S18" s="14">
        <x:f>Q18-R18</x:f>
        <x:v>-8567.67</x:v>
      </x:c>
    </x:row>
    <x:row r="19">
      <x:c r="A19" s="7" t="n">
        <x:v>45942</x:v>
      </x:c>
      <x:c r="B19" s="8" t="inlineStr">
        <x:is>
          <x:t xml:space="preserve">Banco (ahorro)</x:t>
        </x:is>
      </x:c>
      <x:c r="C19" s="8" t="inlineStr">
        <x:is>
          <x:t xml:space="preserve">Activo</x:t>
        </x:is>
      </x:c>
      <x:c r="D19" s="8" t="inlineStr">
        <x:is>
          <x:t xml:space="preserve">Banco</x:t>
        </x:is>
      </x:c>
      <x:c r="E19" s="8" t="inlineStr">
        <x:is>
          <x:t xml:space="preserve">Cuenta corriente</x:t>
        </x:is>
      </x:c>
      <x:c r="F19" s="8" t="inlineStr">
        <x:is>
          <x:t xml:space="preserve">UniCredit</x:t>
        </x:is>
      </x:c>
      <x:c r="G19" s="8" t="inlineStr">
        <x:is>
          <x:t xml:space="preserve">EUR</x:t>
        </x:is>
      </x:c>
      <x:c r="H19" s="9" t="n">
        <x:v>4281.89</x:v>
      </x:c>
      <x:c r="I19" s="10" t="inlineStr">
        <x:is>
          <x:t xml:space="preserve"/>
        </x:is>
      </x:c>
      <x:c r="J19" s="8" t="inlineStr">
        <x:is>
          <x:t xml:space="preserve">2025-10</x:t>
        </x:is>
      </x:c>
      <x:c r="P19" s="13" t="inlineStr">
        <x:is>
          <x:t xml:space="preserve">Santander</x:t>
        </x:is>
      </x:c>
      <x:c r="Q19" s="14">
        <x:f>SUMIFS($H$6:$H$500,$C$6:$C$500,"Activo",$F$6:$F$500,$P19)</x:f>
        <x:v>13368.82</x:v>
      </x:c>
      <x:c r="R19" s="14">
        <x:f>SUMIFS($H$6:$H$500,$C$6:$C$500,"Pasivo",$F$6:$F$500,$P19)</x:f>
        <x:v>13837.4</x:v>
      </x:c>
      <x:c r="S19" s="14">
        <x:f>Q19-R19</x:f>
        <x:v>-468.5799999999999</x:v>
      </x:c>
    </x:row>
    <x:row r="20">
      <x:c r="A20" s="7" t="n">
        <x:v>45947</x:v>
      </x:c>
      <x:c r="B20" s="8" t="inlineStr">
        <x:is>
          <x:t xml:space="preserve">Banco (ahorro)</x:t>
        </x:is>
      </x:c>
      <x:c r="C20" s="8" t="inlineStr">
        <x:is>
          <x:t xml:space="preserve">Activo</x:t>
        </x:is>
      </x:c>
      <x:c r="D20" s="8" t="inlineStr">
        <x:is>
          <x:t xml:space="preserve">Efectivo</x:t>
        </x:is>
      </x:c>
      <x:c r="E20" s="8" t="inlineStr">
        <x:is>
          <x:t xml:space="preserve">Cash</x:t>
        </x:is>
      </x:c>
      <x:c r="F20" s="8" t="inlineStr">
        <x:is>
          <x:t xml:space="preserve">N26</x:t>
        </x:is>
      </x:c>
      <x:c r="G20" s="8" t="inlineStr">
        <x:is>
          <x:t xml:space="preserve">EUR</x:t>
        </x:is>
      </x:c>
      <x:c r="H20" s="9" t="n">
        <x:v>698.26</x:v>
      </x:c>
      <x:c r="I20" s="10" t="inlineStr">
        <x:is>
          <x:t xml:space="preserve">saldo</x:t>
        </x:is>
      </x:c>
      <x:c r="J20" s="8" t="inlineStr">
        <x:is>
          <x:t xml:space="preserve">2025-10</x:t>
        </x:is>
      </x:c>
    </x:row>
    <x:row r="21">
      <x:c r="A21" s="7" t="n">
        <x:v>45967</x:v>
      </x:c>
      <x:c r="B21" s="8" t="inlineStr">
        <x:is>
          <x:t xml:space="preserve">Banco (corriente)</x:t>
        </x:is>
      </x:c>
      <x:c r="C21" s="8" t="inlineStr">
        <x:is>
          <x:t xml:space="preserve">Activo</x:t>
        </x:is>
      </x:c>
      <x:c r="D21" s="8" t="inlineStr">
        <x:is>
          <x:t xml:space="preserve">Banco</x:t>
        </x:is>
      </x:c>
      <x:c r="E21" s="8" t="inlineStr">
        <x:is>
          <x:t xml:space="preserve">Cuenta corriente</x:t>
        </x:is>
      </x:c>
      <x:c r="F21" s="8" t="inlineStr">
        <x:is>
          <x:t xml:space="preserve">N26</x:t>
        </x:is>
      </x:c>
      <x:c r="G21" s="8" t="inlineStr">
        <x:is>
          <x:t xml:space="preserve">EUR</x:t>
        </x:is>
      </x:c>
      <x:c r="H21" s="9" t="n">
        <x:v>1632.85</x:v>
      </x:c>
      <x:c r="I21" s="10" t="inlineStr">
        <x:is>
          <x:t xml:space="preserve">saldo</x:t>
        </x:is>
      </x:c>
      <x:c r="J21" s="8" t="inlineStr">
        <x:is>
          <x:t xml:space="preserve">2025-11</x:t>
        </x:is>
      </x:c>
    </x:row>
    <x:row r="22">
      <x:c r="A22" s="7" t="n">
        <x:v>45970</x:v>
      </x:c>
      <x:c r="B22" s="8" t="inlineStr">
        <x:is>
          <x:t xml:space="preserve">Banco (ahorro)</x:t>
        </x:is>
      </x:c>
      <x:c r="C22" s="8" t="inlineStr">
        <x:is>
          <x:t xml:space="preserve">Activo</x:t>
        </x:is>
      </x:c>
      <x:c r="D22" s="8" t="inlineStr">
        <x:is>
          <x:t xml:space="preserve">Bienes</x:t>
        </x:is>
      </x:c>
      <x:c r="E22" s="8" t="inlineStr">
        <x:is>
          <x:t xml:space="preserve">Electrónica</x:t>
        </x:is>
      </x:c>
      <x:c r="F22" s="8" t="inlineStr">
        <x:is>
          <x:t xml:space="preserve">Visa</x:t>
        </x:is>
      </x:c>
      <x:c r="G22" s="8" t="inlineStr">
        <x:is>
          <x:t xml:space="preserve">EUR</x:t>
        </x:is>
      </x:c>
      <x:c r="H22" s="9" t="n">
        <x:v>339.25</x:v>
      </x:c>
      <x:c r="I22" s="10" t="inlineStr">
        <x:is>
          <x:t xml:space="preserve">saldo</x:t>
        </x:is>
      </x:c>
      <x:c r="J22" s="8" t="inlineStr">
        <x:is>
          <x:t xml:space="preserve">2025-11</x:t>
        </x:is>
      </x:c>
      <x:c r="K22" s="5" t="inlineStr">
        <x:is>
          <x:t xml:space="preserve">Evolución por mes (Net: Activos - Pasivos)</x:t>
        </x:is>
      </x:c>
    </x:row>
    <x:row r="23">
      <x:c r="A23" s="7" t="n">
        <x:v>45972</x:v>
      </x:c>
      <x:c r="B23" s="8" t="inlineStr">
        <x:is>
          <x:t xml:space="preserve">Broker</x:t>
        </x:is>
      </x:c>
      <x:c r="C23" s="8" t="inlineStr">
        <x:is>
          <x:t xml:space="preserve">Activo</x:t>
        </x:is>
      </x:c>
      <x:c r="D23" s="8" t="inlineStr">
        <x:is>
          <x:t xml:space="preserve">Banco</x:t>
        </x:is>
      </x:c>
      <x:c r="E23" s="8" t="inlineStr">
        <x:is>
          <x:t xml:space="preserve">Cuenta ahorro</x:t>
        </x:is>
      </x:c>
      <x:c r="F23" s="8" t="inlineStr">
        <x:is>
          <x:t xml:space="preserve">UniCredit</x:t>
        </x:is>
      </x:c>
      <x:c r="G23" s="8" t="inlineStr">
        <x:is>
          <x:t xml:space="preserve">EUR</x:t>
        </x:is>
      </x:c>
      <x:c r="H23" s="9" t="n">
        <x:v>3088.12</x:v>
      </x:c>
      <x:c r="I23" s="10" t="inlineStr">
        <x:is>
          <x:t xml:space="preserve">mensual</x:t>
        </x:is>
      </x:c>
      <x:c r="J23" s="8" t="inlineStr">
        <x:is>
          <x:t xml:space="preserve">2025-11</x:t>
        </x:is>
      </x:c>
      <x:c r="K23" s="6" t="inlineStr">
        <x:is>
          <x:t xml:space="preserve">Mes</x:t>
        </x:is>
      </x:c>
      <x:c r="L23" s="6" t="inlineStr">
        <x:is>
          <x:t xml:space="preserve">Activos</x:t>
        </x:is>
      </x:c>
      <x:c r="M23" s="6" t="inlineStr">
        <x:is>
          <x:t xml:space="preserve">Pasivos</x:t>
        </x:is>
      </x:c>
      <x:c r="N23" s="6" t="inlineStr">
        <x:is>
          <x:t xml:space="preserve">Neto</x:t>
        </x:is>
      </x:c>
    </x:row>
    <x:row r="24">
      <x:c r="A24" s="7" t="n">
        <x:v>45977</x:v>
      </x:c>
      <x:c r="B24" s="8" t="inlineStr">
        <x:is>
          <x:t xml:space="preserve">Banco (ahorro)</x:t>
        </x:is>
      </x:c>
      <x:c r="C24" s="8" t="inlineStr">
        <x:is>
          <x:t xml:space="preserve">Activo</x:t>
        </x:is>
      </x:c>
      <x:c r="D24" s="8" t="inlineStr">
        <x:is>
          <x:t xml:space="preserve">Banco</x:t>
        </x:is>
      </x:c>
      <x:c r="E24" s="8" t="inlineStr">
        <x:is>
          <x:t xml:space="preserve">Cuenta ahorro</x:t>
        </x:is>
      </x:c>
      <x:c r="F24" s="8" t="inlineStr">
        <x:is>
          <x:t xml:space="preserve">N26</x:t>
        </x:is>
      </x:c>
      <x:c r="G24" s="8" t="inlineStr">
        <x:is>
          <x:t xml:space="preserve">EUR</x:t>
        </x:is>
      </x:c>
      <x:c r="H24" s="9" t="n">
        <x:v>3296.03</x:v>
      </x:c>
      <x:c r="I24" s="10" t="inlineStr">
        <x:is>
          <x:t xml:space="preserve"/>
        </x:is>
      </x:c>
      <x:c r="J24" s="8" t="inlineStr">
        <x:is>
          <x:t xml:space="preserve">2025-11</x:t>
        </x:is>
      </x:c>
      <x:c r="K24" s="13" t="inlineStr">
        <x:is>
          <x:t xml:space="preserve">2025-09</x:t>
        </x:is>
      </x:c>
      <x:c r="L24" s="14">
        <x:f>SUMIFS($H$6:$H$500,$C$6:$C$500,"Activo",$J$6:$J$500,$K24)</x:f>
        <x:v>13812.880000000001</x:v>
      </x:c>
      <x:c r="M24" s="14">
        <x:f>SUMIFS($H$6:$H$500,$C$6:$C$500,"Pasivo",$J$6:$J$500,$K24)</x:f>
        <x:v>9970.81</x:v>
      </x:c>
      <x:c r="N24" s="14">
        <x:f>L24-M24</x:f>
        <x:v>3842.0700000000015</x:v>
      </x:c>
    </x:row>
    <x:row r="25">
      <x:c r="A25" s="7" t="n">
        <x:v>45980</x:v>
      </x:c>
      <x:c r="B25" s="8" t="inlineStr">
        <x:is>
          <x:t xml:space="preserve">Banco (ahorro)</x:t>
        </x:is>
      </x:c>
      <x:c r="C25" s="8" t="inlineStr">
        <x:is>
          <x:t xml:space="preserve">Activo</x:t>
        </x:is>
      </x:c>
      <x:c r="D25" s="8" t="inlineStr">
        <x:is>
          <x:t xml:space="preserve">Efectivo</x:t>
        </x:is>
      </x:c>
      <x:c r="E25" s="8" t="inlineStr">
        <x:is>
          <x:t xml:space="preserve">Cash</x:t>
        </x:is>
      </x:c>
      <x:c r="F25" s="8" t="inlineStr">
        <x:is>
          <x:t xml:space="preserve">DeGiro</x:t>
        </x:is>
      </x:c>
      <x:c r="G25" s="8" t="inlineStr">
        <x:is>
          <x:t xml:space="preserve">EUR</x:t>
        </x:is>
      </x:c>
      <x:c r="H25" s="9" t="n">
        <x:v>3386.05</x:v>
      </x:c>
      <x:c r="I25" s="10" t="inlineStr">
        <x:is>
          <x:t xml:space="preserve"/>
        </x:is>
      </x:c>
      <x:c r="J25" s="8" t="inlineStr">
        <x:is>
          <x:t xml:space="preserve">2025-11</x:t>
        </x:is>
      </x:c>
      <x:c r="K25" s="13" t="inlineStr">
        <x:is>
          <x:t xml:space="preserve">2025-10</x:t>
        </x:is>
      </x:c>
      <x:c r="L25" s="14">
        <x:f>SUMIFS($H$6:$H$500,$C$6:$C$500,"Activo",$J$6:$J$500,$K25)</x:f>
        <x:v>12603.300000000001</x:v>
      </x:c>
      <x:c r="M25" s="14">
        <x:f>SUMIFS($H$6:$H$500,$C$6:$C$500,"Pasivo",$J$6:$J$500,$K25)</x:f>
        <x:v>14271.33</x:v>
      </x:c>
      <x:c r="N25" s="14">
        <x:f>L25-M25</x:f>
        <x:v>-1668.0299999999988</x:v>
      </x:c>
    </x:row>
    <x:row r="26">
      <x:c r="A26" s="7" t="n">
        <x:v>45982</x:v>
      </x:c>
      <x:c r="B26" s="8" t="inlineStr">
        <x:is>
          <x:t xml:space="preserve">Hipoteca</x:t>
        </x:is>
      </x:c>
      <x:c r="C26" s="8" t="inlineStr">
        <x:is>
          <x:t xml:space="preserve">Pasivo</x:t>
        </x:is>
      </x:c>
      <x:c r="D26" s="8" t="inlineStr">
        <x:is>
          <x:t xml:space="preserve">Deuda</x:t>
        </x:is>
      </x:c>
      <x:c r="E26" s="8" t="inlineStr">
        <x:is>
          <x:t xml:space="preserve">Hipoteca</x:t>
        </x:is>
      </x:c>
      <x:c r="F26" s="8" t="inlineStr">
        <x:is>
          <x:t xml:space="preserve">Visa</x:t>
        </x:is>
      </x:c>
      <x:c r="G26" s="8" t="inlineStr">
        <x:is>
          <x:t xml:space="preserve">EUR</x:t>
        </x:is>
      </x:c>
      <x:c r="H26" s="9" t="n">
        <x:v>6887.7</x:v>
      </x:c>
      <x:c r="I26" s="10" t="inlineStr">
        <x:is>
          <x:t xml:space="preserve"/>
        </x:is>
      </x:c>
      <x:c r="J26" s="8" t="inlineStr">
        <x:is>
          <x:t xml:space="preserve">2025-11</x:t>
        </x:is>
      </x:c>
      <x:c r="K26" s="13" t="inlineStr">
        <x:is>
          <x:t xml:space="preserve">2025-11</x:t>
        </x:is>
      </x:c>
      <x:c r="L26" s="14">
        <x:f>SUMIFS($H$6:$H$500,$C$6:$C$500,"Activo",$J$6:$J$500,$K26)</x:f>
        <x:v>20696.2</x:v>
      </x:c>
      <x:c r="M26" s="14">
        <x:f>SUMIFS($H$6:$H$500,$C$6:$C$500,"Pasivo",$J$6:$J$500,$K26)</x:f>
        <x:v>12130.08</x:v>
      </x:c>
      <x:c r="N26" s="14">
        <x:f>L26-M26</x:f>
        <x:v>8566.12</x:v>
      </x:c>
    </x:row>
    <x:row r="27">
      <x:c r="A27" s="7" t="n">
        <x:v>45983</x:v>
      </x:c>
      <x:c r="B27" s="8" t="inlineStr">
        <x:is>
          <x:t xml:space="preserve">Tarjeta crédito</x:t>
        </x:is>
      </x:c>
      <x:c r="C27" s="8" t="inlineStr">
        <x:is>
          <x:t xml:space="preserve">Pasivo</x:t>
        </x:is>
      </x:c>
      <x:c r="D27" s="8" t="inlineStr">
        <x:is>
          <x:t xml:space="preserve">Deuda</x:t>
        </x:is>
      </x:c>
      <x:c r="E27" s="8" t="inlineStr">
        <x:is>
          <x:t xml:space="preserve">Préstamo personal</x:t>
        </x:is>
      </x:c>
      <x:c r="F27" s="8" t="inlineStr">
        <x:is>
          <x:t xml:space="preserve">Santander</x:t>
        </x:is>
      </x:c>
      <x:c r="G27" s="8" t="inlineStr">
        <x:is>
          <x:t xml:space="preserve">EUR</x:t>
        </x:is>
      </x:c>
      <x:c r="H27" s="9" t="n">
        <x:v>5242.38</x:v>
      </x:c>
      <x:c r="I27" s="10" t="inlineStr">
        <x:is>
          <x:t xml:space="preserve">saldo</x:t>
        </x:is>
      </x:c>
      <x:c r="J27" s="8" t="inlineStr">
        <x:is>
          <x:t xml:space="preserve">2025-11</x:t>
        </x:is>
      </x:c>
      <x:c r="K27" s="13" t="inlineStr">
        <x:is>
          <x:t xml:space="preserve">2025-12</x:t>
        </x:is>
      </x:c>
      <x:c r="L27" s="14">
        <x:f>SUMIFS($H$6:$H$500,$C$6:$C$500,"Activo",$J$6:$J$500,$K27)</x:f>
        <x:v>21298.86</x:v>
      </x:c>
      <x:c r="M27" s="14">
        <x:f>SUMIFS($H$6:$H$500,$C$6:$C$500,"Pasivo",$J$6:$J$500,$K27)</x:f>
        <x:v>1679.35</x:v>
      </x:c>
      <x:c r="N27" s="14">
        <x:f>L27-M27</x:f>
        <x:v>19619.510000000002</x:v>
      </x:c>
    </x:row>
    <x:row r="28">
      <x:c r="A28" s="7" t="n">
        <x:v>45988</x:v>
      </x:c>
      <x:c r="B28" s="8" t="inlineStr">
        <x:is>
          <x:t xml:space="preserve">Broker</x:t>
        </x:is>
      </x:c>
      <x:c r="C28" s="8" t="inlineStr">
        <x:is>
          <x:t xml:space="preserve">Activo</x:t>
        </x:is>
      </x:c>
      <x:c r="D28" s="8" t="inlineStr">
        <x:is>
          <x:t xml:space="preserve">Inversiones</x:t>
        </x:is>
      </x:c>
      <x:c r="E28" s="8" t="inlineStr">
        <x:is>
          <x:t xml:space="preserve">Acciones</x:t>
        </x:is>
      </x:c>
      <x:c r="F28" s="8" t="inlineStr">
        <x:is>
          <x:t xml:space="preserve">Intesa</x:t>
        </x:is>
      </x:c>
      <x:c r="G28" s="8" t="inlineStr">
        <x:is>
          <x:t xml:space="preserve">EUR</x:t>
        </x:is>
      </x:c>
      <x:c r="H28" s="9" t="n">
        <x:v>2260.2</x:v>
      </x:c>
      <x:c r="I28" s="10" t="inlineStr">
        <x:is>
          <x:t xml:space="preserve"/>
        </x:is>
      </x:c>
      <x:c r="J28" s="8" t="inlineStr">
        <x:is>
          <x:t xml:space="preserve">2025-11</x:t>
        </x:is>
      </x:c>
      <x:c r="K28" s="13" t="inlineStr">
        <x:is>
          <x:t xml:space="preserve">2026-01</x:t>
        </x:is>
      </x:c>
      <x:c r="L28" s="14">
        <x:f>SUMIFS($H$6:$H$500,$C$6:$C$500,"Activo",$J$6:$J$500,$K28)</x:f>
        <x:v>3262.44</x:v>
      </x:c>
      <x:c r="M28" s="14">
        <x:f>SUMIFS($H$6:$H$500,$C$6:$C$500,"Pasivo",$J$6:$J$500,$K28)</x:f>
        <x:v>2454.91</x:v>
      </x:c>
      <x:c r="N28" s="14">
        <x:f>L28-M28</x:f>
        <x:v>807.5300000000002</x:v>
      </x:c>
    </x:row>
    <x:row r="29">
      <x:c r="A29" s="7" t="n">
        <x:v>45989</x:v>
      </x:c>
      <x:c r="B29" s="8" t="inlineStr">
        <x:is>
          <x:t xml:space="preserve">Banco (ahorro)</x:t>
        </x:is>
      </x:c>
      <x:c r="C29" s="8" t="inlineStr">
        <x:is>
          <x:t xml:space="preserve">Activo</x:t>
        </x:is>
      </x:c>
      <x:c r="D29" s="8" t="inlineStr">
        <x:is>
          <x:t xml:space="preserve">Bienes</x:t>
        </x:is>
      </x:c>
      <x:c r="E29" s="8" t="inlineStr">
        <x:is>
          <x:t xml:space="preserve">Electrónica</x:t>
        </x:is>
      </x:c>
      <x:c r="F29" s="8" t="inlineStr">
        <x:is>
          <x:t xml:space="preserve">Intesa</x:t>
        </x:is>
      </x:c>
      <x:c r="G29" s="8" t="inlineStr">
        <x:is>
          <x:t xml:space="preserve">EUR</x:t>
        </x:is>
      </x:c>
      <x:c r="H29" s="9" t="n">
        <x:v>4446.77</x:v>
      </x:c>
      <x:c r="I29" s="10" t="inlineStr">
        <x:is>
          <x:t xml:space="preserve">mensual</x:t>
        </x:is>
      </x:c>
      <x:c r="J29" s="8" t="inlineStr">
        <x:is>
          <x:t xml:space="preserve">2025-11</x:t>
        </x:is>
      </x:c>
      <x:c r="K29" s="13" t="inlineStr">
        <x:is>
          <x:t xml:space="preserve">2026-02</x:t>
        </x:is>
      </x:c>
      <x:c r="L29" s="14">
        <x:f>SUMIFS($H$6:$H$500,$C$6:$C$500,"Activo",$J$6:$J$500,$K29)</x:f>
        <x:v>5400.1900000000005</x:v>
      </x:c>
      <x:c r="M29" s="14">
        <x:f>SUMIFS($H$6:$H$500,$C$6:$C$500,"Pasivo",$J$6:$J$500,$K29)</x:f>
        <x:v>0</x:v>
      </x:c>
      <x:c r="N29" s="14">
        <x:f>L29-M29</x:f>
        <x:v>5400.1900000000005</x:v>
      </x:c>
    </x:row>
    <x:row r="30">
      <x:c r="A30" s="7" t="n">
        <x:v>45991</x:v>
      </x:c>
      <x:c r="B30" s="8" t="inlineStr">
        <x:is>
          <x:t xml:space="preserve">Banco (corriente)</x:t>
        </x:is>
      </x:c>
      <x:c r="C30" s="8" t="inlineStr">
        <x:is>
          <x:t xml:space="preserve">Activo</x:t>
        </x:is>
      </x:c>
      <x:c r="D30" s="8" t="inlineStr">
        <x:is>
          <x:t xml:space="preserve">Efectivo</x:t>
        </x:is>
      </x:c>
      <x:c r="E30" s="8" t="inlineStr">
        <x:is>
          <x:t xml:space="preserve">Cash</x:t>
        </x:is>
      </x:c>
      <x:c r="F30" s="8" t="inlineStr">
        <x:is>
          <x:t xml:space="preserve">Santander</x:t>
        </x:is>
      </x:c>
      <x:c r="G30" s="8" t="inlineStr">
        <x:is>
          <x:t xml:space="preserve">EUR</x:t>
        </x:is>
      </x:c>
      <x:c r="H30" s="9" t="n">
        <x:v>2246.93</x:v>
      </x:c>
      <x:c r="I30" s="10" t="inlineStr">
        <x:is>
          <x:t xml:space="preserve">ajuste</x:t>
        </x:is>
      </x:c>
      <x:c r="J30" s="8" t="inlineStr">
        <x:is>
          <x:t xml:space="preserve">2025-11</x:t>
        </x:is>
      </x:c>
    </x:row>
    <x:row r="31">
      <x:c r="A31" s="7" t="n">
        <x:v>46001</x:v>
      </x:c>
      <x:c r="B31" s="8" t="inlineStr">
        <x:is>
          <x:t xml:space="preserve">Banco (corriente)</x:t>
        </x:is>
      </x:c>
      <x:c r="C31" s="8" t="inlineStr">
        <x:is>
          <x:t xml:space="preserve">Activo</x:t>
        </x:is>
      </x:c>
      <x:c r="D31" s="8" t="inlineStr">
        <x:is>
          <x:t xml:space="preserve">Bienes</x:t>
        </x:is>
      </x:c>
      <x:c r="E31" s="8" t="inlineStr">
        <x:is>
          <x:t xml:space="preserve">Electrónica</x:t>
        </x:is>
      </x:c>
      <x:c r="F31" s="8" t="inlineStr">
        <x:is>
          <x:t xml:space="preserve">Intesa</x:t>
        </x:is>
      </x:c>
      <x:c r="G31" s="8" t="inlineStr">
        <x:is>
          <x:t xml:space="preserve">EUR</x:t>
        </x:is>
      </x:c>
      <x:c r="H31" s="9" t="n">
        <x:v>1831.97</x:v>
      </x:c>
      <x:c r="I31" s="10" t="inlineStr">
        <x:is>
          <x:t xml:space="preserve">mensual</x:t>
        </x:is>
      </x:c>
      <x:c r="J31" s="8" t="inlineStr">
        <x:is>
          <x:t xml:space="preserve">2025-12</x:t>
        </x:is>
      </x:c>
    </x:row>
    <x:row r="32">
      <x:c r="A32" s="7" t="n">
        <x:v>46002</x:v>
      </x:c>
      <x:c r="B32" s="8" t="inlineStr">
        <x:is>
          <x:t xml:space="preserve">Banco (corriente)</x:t>
        </x:is>
      </x:c>
      <x:c r="C32" s="8" t="inlineStr">
        <x:is>
          <x:t xml:space="preserve">Activo</x:t>
        </x:is>
      </x:c>
      <x:c r="D32" s="8" t="inlineStr">
        <x:is>
          <x:t xml:space="preserve">Banco</x:t>
        </x:is>
      </x:c>
      <x:c r="E32" s="8" t="inlineStr">
        <x:is>
          <x:t xml:space="preserve">Cuenta corriente</x:t>
        </x:is>
      </x:c>
      <x:c r="F32" s="8" t="inlineStr">
        <x:is>
          <x:t xml:space="preserve">Revolut</x:t>
        </x:is>
      </x:c>
      <x:c r="G32" s="8" t="inlineStr">
        <x:is>
          <x:t xml:space="preserve">EUR</x:t>
        </x:is>
      </x:c>
      <x:c r="H32" s="9" t="n">
        <x:v>257.29</x:v>
      </x:c>
      <x:c r="I32" s="10" t="inlineStr">
        <x:is>
          <x:t xml:space="preserve">compra</x:t>
        </x:is>
      </x:c>
      <x:c r="J32" s="8" t="inlineStr">
        <x:is>
          <x:t xml:space="preserve">2025-12</x:t>
        </x:is>
      </x:c>
    </x:row>
    <x:row r="33">
      <x:c r="A33" s="7" t="n">
        <x:v>46003</x:v>
      </x:c>
      <x:c r="B33" s="8" t="inlineStr">
        <x:is>
          <x:t xml:space="preserve">Préstamo</x:t>
        </x:is>
      </x:c>
      <x:c r="C33" s="8" t="inlineStr">
        <x:is>
          <x:t xml:space="preserve">Pasivo</x:t>
        </x:is>
      </x:c>
      <x:c r="D33" s="8" t="inlineStr">
        <x:is>
          <x:t xml:space="preserve">Deuda</x:t>
        </x:is>
      </x:c>
      <x:c r="E33" s="8" t="inlineStr">
        <x:is>
          <x:t xml:space="preserve">Tarjeta crédito</x:t>
        </x:is>
      </x:c>
      <x:c r="F33" s="8" t="inlineStr">
        <x:is>
          <x:t xml:space="preserve">Revolut</x:t>
        </x:is>
      </x:c>
      <x:c r="G33" s="8" t="inlineStr">
        <x:is>
          <x:t xml:space="preserve">EUR</x:t>
        </x:is>
      </x:c>
      <x:c r="H33" s="9" t="n">
        <x:v>1679.35</x:v>
      </x:c>
      <x:c r="I33" s="10" t="inlineStr">
        <x:is>
          <x:t xml:space="preserve"/>
        </x:is>
      </x:c>
      <x:c r="J33" s="8" t="inlineStr">
        <x:is>
          <x:t xml:space="preserve">2025-12</x:t>
        </x:is>
      </x:c>
    </x:row>
    <x:row r="34">
      <x:c r="A34" s="7" t="n">
        <x:v>46012</x:v>
      </x:c>
      <x:c r="B34" s="8" t="inlineStr">
        <x:is>
          <x:t xml:space="preserve">Broker</x:t>
        </x:is>
      </x:c>
      <x:c r="C34" s="8" t="inlineStr">
        <x:is>
          <x:t xml:space="preserve">Activo</x:t>
        </x:is>
      </x:c>
      <x:c r="D34" s="8" t="inlineStr">
        <x:is>
          <x:t xml:space="preserve">Banco</x:t>
        </x:is>
      </x:c>
      <x:c r="E34" s="8" t="inlineStr">
        <x:is>
          <x:t xml:space="preserve">Cuenta corriente</x:t>
        </x:is>
      </x:c>
      <x:c r="F34" s="8" t="inlineStr">
        <x:is>
          <x:t xml:space="preserve">Intesa</x:t>
        </x:is>
      </x:c>
      <x:c r="G34" s="8" t="inlineStr">
        <x:is>
          <x:t xml:space="preserve">EUR</x:t>
        </x:is>
      </x:c>
      <x:c r="H34" s="9" t="n">
        <x:v>453.67</x:v>
      </x:c>
      <x:c r="I34" s="10" t="inlineStr">
        <x:is>
          <x:t xml:space="preserve">saldo</x:t>
        </x:is>
      </x:c>
      <x:c r="J34" s="8" t="inlineStr">
        <x:is>
          <x:t xml:space="preserve">2025-12</x:t>
        </x:is>
      </x:c>
    </x:row>
    <x:row r="35">
      <x:c r="A35" s="7" t="n">
        <x:v>46013</x:v>
      </x:c>
      <x:c r="B35" s="8" t="inlineStr">
        <x:is>
          <x:t xml:space="preserve">Efectivo</x:t>
        </x:is>
      </x:c>
      <x:c r="C35" s="8" t="inlineStr">
        <x:is>
          <x:t xml:space="preserve">Activo</x:t>
        </x:is>
      </x:c>
      <x:c r="D35" s="8" t="inlineStr">
        <x:is>
          <x:t xml:space="preserve">Banco</x:t>
        </x:is>
      </x:c>
      <x:c r="E35" s="8" t="inlineStr">
        <x:is>
          <x:t xml:space="preserve">Cuenta ahorro</x:t>
        </x:is>
      </x:c>
      <x:c r="F35" s="8" t="inlineStr">
        <x:is>
          <x:t xml:space="preserve">Intesa</x:t>
        </x:is>
      </x:c>
      <x:c r="G35" s="8" t="inlineStr">
        <x:is>
          <x:t xml:space="preserve">EUR</x:t>
        </x:is>
      </x:c>
      <x:c r="H35" s="9" t="n">
        <x:v>2723.24</x:v>
      </x:c>
      <x:c r="I35" s="10" t="inlineStr">
        <x:is>
          <x:t xml:space="preserve">saldo</x:t>
        </x:is>
      </x:c>
      <x:c r="J35" s="8" t="inlineStr">
        <x:is>
          <x:t xml:space="preserve">2025-12</x:t>
        </x:is>
      </x:c>
    </x:row>
    <x:row r="36">
      <x:c r="A36" s="7" t="n">
        <x:v>46015</x:v>
      </x:c>
      <x:c r="B36" s="8" t="inlineStr">
        <x:is>
          <x:t xml:space="preserve">Banco (ahorro)</x:t>
        </x:is>
      </x:c>
      <x:c r="C36" s="8" t="inlineStr">
        <x:is>
          <x:t xml:space="preserve">Activo</x:t>
        </x:is>
      </x:c>
      <x:c r="D36" s="8" t="inlineStr">
        <x:is>
          <x:t xml:space="preserve">Inversiones</x:t>
        </x:is>
      </x:c>
      <x:c r="E36" s="8" t="inlineStr">
        <x:is>
          <x:t xml:space="preserve">ETF</x:t>
        </x:is>
      </x:c>
      <x:c r="F36" s="8" t="inlineStr">
        <x:is>
          <x:t xml:space="preserve">Intesa</x:t>
        </x:is>
      </x:c>
      <x:c r="G36" s="8" t="inlineStr">
        <x:is>
          <x:t xml:space="preserve">EUR</x:t>
        </x:is>
      </x:c>
      <x:c r="H36" s="9" t="n">
        <x:v>3997.33</x:v>
      </x:c>
      <x:c r="I36" s="10" t="inlineStr">
        <x:is>
          <x:t xml:space="preserve">compra</x:t>
        </x:is>
      </x:c>
      <x:c r="J36" s="8" t="inlineStr">
        <x:is>
          <x:t xml:space="preserve">2025-12</x:t>
        </x:is>
      </x:c>
    </x:row>
    <x:row r="37">
      <x:c r="A37" s="7" t="n">
        <x:v>46015</x:v>
      </x:c>
      <x:c r="B37" s="8" t="inlineStr">
        <x:is>
          <x:t xml:space="preserve">Broker</x:t>
        </x:is>
      </x:c>
      <x:c r="C37" s="8" t="inlineStr">
        <x:is>
          <x:t xml:space="preserve">Activo</x:t>
        </x:is>
      </x:c>
      <x:c r="D37" s="8" t="inlineStr">
        <x:is>
          <x:t xml:space="preserve">Banco</x:t>
        </x:is>
      </x:c>
      <x:c r="E37" s="8" t="inlineStr">
        <x:is>
          <x:t xml:space="preserve">Cuenta ahorro</x:t>
        </x:is>
      </x:c>
      <x:c r="F37" s="8" t="inlineStr">
        <x:is>
          <x:t xml:space="preserve">Santander</x:t>
        </x:is>
      </x:c>
      <x:c r="G37" s="8" t="inlineStr">
        <x:is>
          <x:t xml:space="preserve">EUR</x:t>
        </x:is>
      </x:c>
      <x:c r="H37" s="9" t="n">
        <x:v>3981.06</x:v>
      </x:c>
      <x:c r="I37" s="10" t="inlineStr">
        <x:is>
          <x:t xml:space="preserve">saldo</x:t>
        </x:is>
      </x:c>
      <x:c r="J37" s="8" t="inlineStr">
        <x:is>
          <x:t xml:space="preserve">2025-12</x:t>
        </x:is>
      </x:c>
    </x:row>
    <x:row r="38">
      <x:c r="A38" s="7" t="n">
        <x:v>46017</x:v>
      </x:c>
      <x:c r="B38" s="8" t="inlineStr">
        <x:is>
          <x:t xml:space="preserve">Banco (corriente)</x:t>
        </x:is>
      </x:c>
      <x:c r="C38" s="8" t="inlineStr">
        <x:is>
          <x:t xml:space="preserve">Activo</x:t>
        </x:is>
      </x:c>
      <x:c r="D38" s="8" t="inlineStr">
        <x:is>
          <x:t xml:space="preserve">Banco</x:t>
        </x:is>
      </x:c>
      <x:c r="E38" s="8" t="inlineStr">
        <x:is>
          <x:t xml:space="preserve">Cuenta corriente</x:t>
        </x:is>
      </x:c>
      <x:c r="F38" s="8" t="inlineStr">
        <x:is>
          <x:t xml:space="preserve">Intesa</x:t>
        </x:is>
      </x:c>
      <x:c r="G38" s="8" t="inlineStr">
        <x:is>
          <x:t xml:space="preserve">EUR</x:t>
        </x:is>
      </x:c>
      <x:c r="H38" s="9" t="n">
        <x:v>3584.99</x:v>
      </x:c>
      <x:c r="I38" s="10" t="inlineStr">
        <x:is>
          <x:t xml:space="preserve">saldo</x:t>
        </x:is>
      </x:c>
      <x:c r="J38" s="8" t="inlineStr">
        <x:is>
          <x:t xml:space="preserve">2025-12</x:t>
        </x:is>
      </x:c>
    </x:row>
    <x:row r="39">
      <x:c r="A39" s="7" t="n">
        <x:v>46022</x:v>
      </x:c>
      <x:c r="B39" s="8" t="inlineStr">
        <x:is>
          <x:t xml:space="preserve">Broker</x:t>
        </x:is>
      </x:c>
      <x:c r="C39" s="8" t="inlineStr">
        <x:is>
          <x:t xml:space="preserve">Activo</x:t>
        </x:is>
      </x:c>
      <x:c r="D39" s="8" t="inlineStr">
        <x:is>
          <x:t xml:space="preserve">Inversiones</x:t>
        </x:is>
      </x:c>
      <x:c r="E39" s="8" t="inlineStr">
        <x:is>
          <x:t xml:space="preserve">ETF</x:t>
        </x:is>
      </x:c>
      <x:c r="F39" s="8" t="inlineStr">
        <x:is>
          <x:t xml:space="preserve">DeGiro</x:t>
        </x:is>
      </x:c>
      <x:c r="G39" s="8" t="inlineStr">
        <x:is>
          <x:t xml:space="preserve">EUR</x:t>
        </x:is>
      </x:c>
      <x:c r="H39" s="9" t="n">
        <x:v>4469.31</x:v>
      </x:c>
      <x:c r="I39" s="10" t="inlineStr">
        <x:is>
          <x:t xml:space="preserve">compra</x:t>
        </x:is>
      </x:c>
      <x:c r="J39" s="8" t="inlineStr">
        <x:is>
          <x:t xml:space="preserve">2025-12</x:t>
        </x:is>
      </x:c>
    </x:row>
    <x:row r="40">
      <x:c r="A40" s="7" t="n">
        <x:v>46029</x:v>
      </x:c>
      <x:c r="B40" s="8" t="inlineStr">
        <x:is>
          <x:t xml:space="preserve">Banco (corriente)</x:t>
        </x:is>
      </x:c>
      <x:c r="C40" s="8" t="inlineStr">
        <x:is>
          <x:t xml:space="preserve">Activo</x:t>
        </x:is>
      </x:c>
      <x:c r="D40" s="8" t="inlineStr">
        <x:is>
          <x:t xml:space="preserve">Banco</x:t>
        </x:is>
      </x:c>
      <x:c r="E40" s="8" t="inlineStr">
        <x:is>
          <x:t xml:space="preserve">Cuenta corriente</x:t>
        </x:is>
      </x:c>
      <x:c r="F40" s="8" t="inlineStr">
        <x:is>
          <x:t xml:space="preserve">Santander</x:t>
        </x:is>
      </x:c>
      <x:c r="G40" s="8" t="inlineStr">
        <x:is>
          <x:t xml:space="preserve">EUR</x:t>
        </x:is>
      </x:c>
      <x:c r="H40" s="9" t="n">
        <x:v>2778.87</x:v>
      </x:c>
      <x:c r="I40" s="10" t="inlineStr">
        <x:is>
          <x:t xml:space="preserve">mensual</x:t>
        </x:is>
      </x:c>
      <x:c r="J40" s="8" t="inlineStr">
        <x:is>
          <x:t xml:space="preserve">2026-01</x:t>
        </x:is>
      </x:c>
    </x:row>
    <x:row r="41">
      <x:c r="A41" s="7" t="n">
        <x:v>46040</x:v>
      </x:c>
      <x:c r="B41" s="8" t="inlineStr">
        <x:is>
          <x:t xml:space="preserve">Hipoteca</x:t>
        </x:is>
      </x:c>
      <x:c r="C41" s="8" t="inlineStr">
        <x:is>
          <x:t xml:space="preserve">Pasivo</x:t>
        </x:is>
      </x:c>
      <x:c r="D41" s="8" t="inlineStr">
        <x:is>
          <x:t xml:space="preserve">Deuda</x:t>
        </x:is>
      </x:c>
      <x:c r="E41" s="8" t="inlineStr">
        <x:is>
          <x:t xml:space="preserve">Hipoteca</x:t>
        </x:is>
      </x:c>
      <x:c r="F41" s="8" t="inlineStr">
        <x:is>
          <x:t xml:space="preserve">Santander</x:t>
        </x:is>
      </x:c>
      <x:c r="G41" s="8" t="inlineStr">
        <x:is>
          <x:t xml:space="preserve">EUR</x:t>
        </x:is>
      </x:c>
      <x:c r="H41" s="9" t="n">
        <x:v>2454.91</x:v>
      </x:c>
      <x:c r="I41" s="10" t="inlineStr">
        <x:is>
          <x:t xml:space="preserve"/>
        </x:is>
      </x:c>
      <x:c r="J41" s="8" t="inlineStr">
        <x:is>
          <x:t xml:space="preserve">2026-01</x:t>
        </x:is>
      </x:c>
    </x:row>
    <x:row r="42">
      <x:c r="A42" s="7" t="n">
        <x:v>46047</x:v>
      </x:c>
      <x:c r="B42" s="8" t="inlineStr">
        <x:is>
          <x:t xml:space="preserve">Efectivo</x:t>
        </x:is>
      </x:c>
      <x:c r="C42" s="8" t="inlineStr">
        <x:is>
          <x:t xml:space="preserve">Activo</x:t>
        </x:is>
      </x:c>
      <x:c r="D42" s="8" t="inlineStr">
        <x:is>
          <x:t xml:space="preserve">Banco</x:t>
        </x:is>
      </x:c>
      <x:c r="E42" s="8" t="inlineStr">
        <x:is>
          <x:t xml:space="preserve">Cuenta ahorro</x:t>
        </x:is>
      </x:c>
      <x:c r="F42" s="8" t="inlineStr">
        <x:is>
          <x:t xml:space="preserve">N26</x:t>
        </x:is>
      </x:c>
      <x:c r="G42" s="8" t="inlineStr">
        <x:is>
          <x:t xml:space="preserve">EUR</x:t>
        </x:is>
      </x:c>
      <x:c r="H42" s="9" t="n">
        <x:v>483.57</x:v>
      </x:c>
      <x:c r="I42" s="10" t="inlineStr">
        <x:is>
          <x:t xml:space="preserve"/>
        </x:is>
      </x:c>
      <x:c r="J42" s="8" t="inlineStr">
        <x:is>
          <x:t xml:space="preserve">2026-01</x:t>
        </x:is>
      </x:c>
    </x:row>
    <x:row r="43">
      <x:c r="A43" s="7" t="n">
        <x:v>46058</x:v>
      </x:c>
      <x:c r="B43" s="8" t="inlineStr">
        <x:is>
          <x:t xml:space="preserve">Banco (ahorro)</x:t>
        </x:is>
      </x:c>
      <x:c r="C43" s="8" t="inlineStr">
        <x:is>
          <x:t xml:space="preserve">Activo</x:t>
        </x:is>
      </x:c>
      <x:c r="D43" s="8" t="inlineStr">
        <x:is>
          <x:t xml:space="preserve">Bienes</x:t>
        </x:is>
      </x:c>
      <x:c r="E43" s="8" t="inlineStr">
        <x:is>
          <x:t xml:space="preserve">Electrónica</x:t>
        </x:is>
      </x:c>
      <x:c r="F43" s="8" t="inlineStr">
        <x:is>
          <x:t xml:space="preserve">N26</x:t>
        </x:is>
      </x:c>
      <x:c r="G43" s="8" t="inlineStr">
        <x:is>
          <x:t xml:space="preserve">EUR</x:t>
        </x:is>
      </x:c>
      <x:c r="H43" s="9" t="n">
        <x:v>1172.55</x:v>
      </x:c>
      <x:c r="I43" s="10" t="inlineStr">
        <x:is>
          <x:t xml:space="preserve">ajuste</x:t>
        </x:is>
      </x:c>
      <x:c r="J43" s="8" t="inlineStr">
        <x:is>
          <x:t xml:space="preserve">2026-02</x:t>
        </x:is>
      </x:c>
    </x:row>
    <x:row r="44">
      <x:c r="A44" s="7" t="n">
        <x:v>46059</x:v>
      </x:c>
      <x:c r="B44" s="8" t="inlineStr">
        <x:is>
          <x:t xml:space="preserve">Banco (ahorro)</x:t>
        </x:is>
      </x:c>
      <x:c r="C44" s="8" t="inlineStr">
        <x:is>
          <x:t xml:space="preserve">Activo</x:t>
        </x:is>
      </x:c>
      <x:c r="D44" s="8" t="inlineStr">
        <x:is>
          <x:t xml:space="preserve">Bienes</x:t>
        </x:is>
      </x:c>
      <x:c r="E44" s="8" t="inlineStr">
        <x:is>
          <x:t xml:space="preserve">Electrónica</x:t>
        </x:is>
      </x:c>
      <x:c r="F44" s="8" t="inlineStr">
        <x:is>
          <x:t xml:space="preserve">DeGiro</x:t>
        </x:is>
      </x:c>
      <x:c r="G44" s="8" t="inlineStr">
        <x:is>
          <x:t xml:space="preserve">EUR</x:t>
        </x:is>
      </x:c>
      <x:c r="H44" s="9" t="n">
        <x:v>2416.16</x:v>
      </x:c>
      <x:c r="I44" s="10" t="inlineStr">
        <x:is>
          <x:t xml:space="preserve">saldo</x:t>
        </x:is>
      </x:c>
      <x:c r="J44" s="8" t="inlineStr">
        <x:is>
          <x:t xml:space="preserve">2026-02</x:t>
        </x:is>
      </x:c>
    </x:row>
    <x:row r="45">
      <x:c r="A45" s="7" t="n">
        <x:v>46063</x:v>
      </x:c>
      <x:c r="B45" s="8" t="inlineStr">
        <x:is>
          <x:t xml:space="preserve">Broker</x:t>
        </x:is>
      </x:c>
      <x:c r="C45" s="8" t="inlineStr">
        <x:is>
          <x:t xml:space="preserve">Activo</x:t>
        </x:is>
      </x:c>
      <x:c r="D45" s="8" t="inlineStr">
        <x:is>
          <x:t xml:space="preserve">Bienes</x:t>
        </x:is>
      </x:c>
      <x:c r="E45" s="8" t="inlineStr">
        <x:is>
          <x:t xml:space="preserve">Electrónica</x:t>
        </x:is>
      </x:c>
      <x:c r="F45" s="8" t="inlineStr">
        <x:is>
          <x:t xml:space="preserve">Visa</x:t>
        </x:is>
      </x:c>
      <x:c r="G45" s="8" t="inlineStr">
        <x:is>
          <x:t xml:space="preserve">EUR</x:t>
        </x:is>
      </x:c>
      <x:c r="H45" s="9" t="n">
        <x:v>1811.48</x:v>
      </x:c>
      <x:c r="I45" s="10" t="inlineStr">
        <x:is>
          <x:t xml:space="preserve"/>
        </x:is>
      </x:c>
      <x:c r="J45" s="8" t="inlineStr">
        <x:is>
          <x:t xml:space="preserve">2026-02</x:t>
        </x:is>
      </x:c>
    </x:row>
  </x:sheetData>
  <x:mergeCells>
    <x:mergeCell ref="K22:N22"/>
    <x:mergeCell ref="A1:S1"/>
    <x:mergeCell ref="K11:N11"/>
    <x:mergeCell ref="K4:S4"/>
    <x:mergeCell ref="A4:J4"/>
    <x:mergeCell ref="P11:S11"/>
  </x:mergeCells>
  <x:pageMargins left="0.7" right="0.7" top="0.75" bottom="0.75" header="0.3" footer="0.3"/>
  <x:tableParts count="1">
    <x:tablePart xmlns:r="http://schemas.openxmlformats.org/officeDocument/2006/relationships" r:id="R0b989f27d4a241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20" customWidth="1"/>
    <x:col min="3" max="3" width="10" customWidth="1"/>
    <x:col min="4" max="4" width="16" customWidth="1"/>
    <x:col min="5" max="5" width="18" customWidth="1"/>
    <x:col min="6" max="6" width="14" customWidth="1"/>
    <x:col min="7" max="7" width="14" customWidth="1"/>
    <x:col min="8" max="8" width="12" customWidth="1"/>
    <x:col min="9" max="9" width="16" customWidth="1"/>
    <x:col min="10" max="10" width="9" customWidth="1"/>
    <x:col min="11" max="11" width="22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1" max="21" width="12" customWidth="1"/>
  </x:cols>
  <x:sheetData>
    <x:row r="1" ht="28" customHeight="1">
      <x:c r="A1" s="1" t="inlineStr">
        <x:is>
          <x:t xml:space="preserve">STIPENDIO — Demo (movimientos + presupuesto tipo tabla dinámica)</x:t>
        </x:is>
      </x:c>
    </x:row>
    <x:row r="2">
      <x:c r="A2" s="2" t="inlineStr">
        <x:is>
          <x:t xml:space="preserve">Sueldo neto mensual (EUR)</x:t>
        </x:is>
      </x:c>
      <x:c r="B2" s="17" t="n">
        <x:v>2200</x:v>
      </x:c>
      <x:c r="K2" s="18" t="inlineStr">
        <x:is>
          <x:t xml:space="preserve">Inicio mes</x:t>
        </x:is>
      </x:c>
      <x:c r="L2" s="19">
        <x:f>DATE(LEFT($B$3,4),MID($B$3,6,2),1)</x:f>
        <x:v>46023</x:v>
      </x:c>
      <x:c r="U2" s="20" t="inlineStr">
        <x:is>
          <x:t xml:space="preserve">2025-12</x:t>
        </x:is>
      </x:c>
    </x:row>
    <x:row r="3">
      <x:c r="A3" s="2" t="inlineStr">
        <x:is>
          <x:t xml:space="preserve">Mes seleccionado (yyyy-mm)</x:t>
        </x:is>
      </x:c>
      <x:c r="B3" s="4" t="inlineStr">
        <x:is>
          <x:t xml:space="preserve">2026-01</x:t>
        </x:is>
      </x:c>
      <x:c r="K3" s="18" t="inlineStr">
        <x:is>
          <x:t xml:space="preserve">Fin mes</x:t>
        </x:is>
      </x:c>
      <x:c r="L3" s="19">
        <x:f>EDATE($L$2,1)</x:f>
        <x:v>46054</x:v>
      </x:c>
      <x:c r="U3" s="20" t="inlineStr">
        <x:is>
          <x:t xml:space="preserve">2026-01</x:t>
        </x:is>
      </x:c>
    </x:row>
    <x:row r="4" ht="20" customHeight="1">
      <x:c r="A4" s="5" t="inlineStr">
        <x:is>
          <x:t xml:space="preserve">DATOS (entradas de sueldo y gastos)</x:t>
        </x:is>
      </x:c>
      <x:c r="K4" s="5" t="inlineStr">
        <x:is>
          <x:t xml:space="preserve">RESUMEN</x:t>
        </x:is>
      </x:c>
      <x:c r="U4" s="20" t="inlineStr">
        <x:is>
          <x:t xml:space="preserve">2026-02</x:t>
        </x:is>
      </x:c>
    </x:row>
    <x:row r="5" ht="18" customHeight="1">
      <x:c r="A5" s="6" t="inlineStr">
        <x:is>
          <x:t xml:space="preserve">Fecha</x:t>
        </x:is>
      </x:c>
      <x:c r="B5" s="6" t="inlineStr">
        <x:is>
          <x:t xml:space="preserve">Descripción</x:t>
        </x:is>
      </x:c>
      <x:c r="C5" s="6" t="inlineStr">
        <x:is>
          <x:t xml:space="preserve">Tipo</x:t>
        </x:is>
      </x:c>
      <x:c r="D5" s="6" t="inlineStr">
        <x:is>
          <x:t xml:space="preserve">Categoría</x:t>
        </x:is>
      </x:c>
      <x:c r="E5" s="6" t="inlineStr">
        <x:is>
          <x:t xml:space="preserve">Subcategoría</x:t>
        </x:is>
      </x:c>
      <x:c r="F5" s="6" t="inlineStr">
        <x:is>
          <x:t xml:space="preserve">Método</x:t>
        </x:is>
      </x:c>
      <x:c r="G5" s="6" t="inlineStr">
        <x:is>
          <x:t xml:space="preserve">Cuenta</x:t>
        </x:is>
      </x:c>
      <x:c r="H5" s="6" t="inlineStr">
        <x:is>
          <x:t xml:space="preserve">Monto</x:t>
        </x:is>
      </x:c>
      <x:c r="I5" s="6" t="inlineStr">
        <x:is>
          <x:t xml:space="preserve">Notas</x:t>
        </x:is>
      </x:c>
      <x:c r="J5" s="6" t="inlineStr">
        <x:is>
          <x:t xml:space="preserve">Mes</x:t>
        </x:is>
      </x:c>
      <x:c r="K5" s="6" t="inlineStr">
        <x:is>
          <x:t xml:space="preserve">KPI (mes seleccionado)</x:t>
        </x:is>
      </x:c>
      <x:c r="L5" s="6" t="inlineStr">
        <x:is>
          <x:t xml:space="preserve">Valor</x:t>
        </x:is>
      </x:c>
      <x:c r="U5" s="20" t="inlineStr">
        <x:is>
          <x:t xml:space="preserve"/>
        </x:is>
      </x:c>
    </x:row>
    <x:row r="6">
      <x:c r="A6" s="7" t="n">
        <x:v>46006</x:v>
      </x:c>
      <x:c r="B6" s="10" t="inlineStr">
        <x:is>
          <x:t xml:space="preserve">Transporte</x:t>
        </x:is>
      </x:c>
      <x:c r="C6" s="8" t="inlineStr">
        <x:is>
          <x:t xml:space="preserve">Gasto</x:t>
        </x:is>
      </x:c>
      <x:c r="D6" s="8" t="inlineStr">
        <x:is>
          <x:t xml:space="preserve">Necesidades</x:t>
        </x:is>
      </x:c>
      <x:c r="E6" s="8" t="inlineStr">
        <x:is>
          <x:t xml:space="preserve">Transporte</x:t>
        </x:is>
      </x:c>
      <x:c r="F6" s="8" t="inlineStr">
        <x:is>
          <x:t xml:space="preserve">Efectivo</x:t>
        </x:is>
      </x:c>
      <x:c r="G6" s="8" t="inlineStr">
        <x:is>
          <x:t xml:space="preserve">Efectivo</x:t>
        </x:is>
      </x:c>
      <x:c r="H6" s="9" t="n">
        <x:v>240.8</x:v>
      </x:c>
      <x:c r="I6" s="10" t="inlineStr">
        <x:is>
          <x:t xml:space="preserve"/>
        </x:is>
      </x:c>
      <x:c r="J6" s="8" t="inlineStr">
        <x:is>
          <x:t xml:space="preserve">2025-12</x:t>
        </x:is>
      </x:c>
      <x:c r="K6" s="13" t="inlineStr">
        <x:is>
          <x:t xml:space="preserve">Ingresos</x:t>
        </x:is>
      </x:c>
      <x:c r="L6" s="14">
        <x:f>SUMIFS($H$6:$H$800,$C$6:$C$800,"Ingreso",$J$6:$J$800,$B$3)</x:f>
        <x:v>13060.58</x:v>
      </x:c>
      <x:c r="U6" s="20" t="inlineStr">
        <x:is>
          <x:t xml:space="preserve"/>
        </x:is>
      </x:c>
    </x:row>
    <x:row r="7">
      <x:c r="A7" s="7" t="n">
        <x:v>46007</x:v>
      </x:c>
      <x:c r="B7" s="10" t="inlineStr">
        <x:is>
          <x:t xml:space="preserve">Sueldo</x:t>
        </x:is>
      </x:c>
      <x:c r="C7" s="8" t="inlineStr">
        <x:is>
          <x:t xml:space="preserve">Ingreso</x:t>
        </x:is>
      </x:c>
      <x:c r="D7" s="8" t="inlineStr">
        <x:is>
          <x:t xml:space="preserve">Ingreso</x:t>
        </x:is>
      </x:c>
      <x:c r="E7" s="8" t="inlineStr">
        <x:is>
          <x:t xml:space="preserve">Sueldo</x:t>
        </x:is>
      </x:c>
      <x:c r="F7" s="8" t="inlineStr">
        <x:is>
          <x:t xml:space="preserve">Transferencia</x:t>
        </x:is>
      </x:c>
      <x:c r="G7" s="8" t="inlineStr">
        <x:is>
          <x:t xml:space="preserve">Efectivo</x:t>
        </x:is>
      </x:c>
      <x:c r="H7" s="9" t="n">
        <x:v>2202.26</x:v>
      </x:c>
      <x:c r="I7" s="10" t="inlineStr">
        <x:is>
          <x:t xml:space="preserve">recurrente</x:t>
        </x:is>
      </x:c>
      <x:c r="J7" s="8" t="inlineStr">
        <x:is>
          <x:t xml:space="preserve">2025-12</x:t>
        </x:is>
      </x:c>
      <x:c r="K7" s="13" t="inlineStr">
        <x:is>
          <x:t xml:space="preserve">Gastos</x:t>
        </x:is>
      </x:c>
      <x:c r="L7" s="14">
        <x:f>SUMIFS($H$6:$H$800,$C$6:$C$800,"Gasto",$J$6:$J$800,$B$3)</x:f>
        <x:v>2883.610000000001</x:v>
      </x:c>
      <x:c r="U7" s="20" t="inlineStr">
        <x:is>
          <x:t xml:space="preserve"/>
        </x:is>
      </x:c>
    </x:row>
    <x:row r="8">
      <x:c r="A8" s="7" t="n">
        <x:v>46007</x:v>
      </x:c>
      <x:c r="B8" s="10" t="inlineStr">
        <x:is>
          <x:t xml:space="preserve">Comida</x:t>
        </x:is>
      </x:c>
      <x:c r="C8" s="8" t="inlineStr">
        <x:is>
          <x:t xml:space="preserve">Gasto</x:t>
        </x:is>
      </x:c>
      <x:c r="D8" s="8" t="inlineStr">
        <x:is>
          <x:t xml:space="preserve">Necesidades</x:t>
        </x:is>
      </x:c>
      <x:c r="E8" s="8" t="inlineStr">
        <x:is>
          <x:t xml:space="preserve">Comida</x:t>
        </x:is>
      </x:c>
      <x:c r="F8" s="8" t="inlineStr">
        <x:is>
          <x:t xml:space="preserve">Efectivo</x:t>
        </x:is>
      </x:c>
      <x:c r="G8" s="8" t="inlineStr">
        <x:is>
          <x:t xml:space="preserve">Revolut</x:t>
        </x:is>
      </x:c>
      <x:c r="H8" s="9" t="n">
        <x:v>170.55</x:v>
      </x:c>
      <x:c r="I8" s="10" t="inlineStr">
        <x:is>
          <x:t xml:space="preserve"/>
        </x:is>
      </x:c>
      <x:c r="J8" s="8" t="inlineStr">
        <x:is>
          <x:t xml:space="preserve">2025-12</x:t>
        </x:is>
      </x:c>
      <x:c r="K8" s="13" t="inlineStr">
        <x:is>
          <x:t xml:space="preserve">Ahorro</x:t>
        </x:is>
      </x:c>
      <x:c r="L8" s="14">
        <x:f>SUMIFS($H$6:$H$800,$C$6:$C$800,"Ahorro",$J$6:$J$800,$B$3)</x:f>
        <x:v>123.31</x:v>
      </x:c>
      <x:c r="U8" s="20" t="inlineStr">
        <x:is>
          <x:t xml:space="preserve"/>
        </x:is>
      </x:c>
    </x:row>
    <x:row r="9">
      <x:c r="A9" s="7" t="n">
        <x:v>46008</x:v>
      </x:c>
      <x:c r="B9" s="10" t="inlineStr">
        <x:is>
          <x:t xml:space="preserve">Salud</x:t>
        </x:is>
      </x:c>
      <x:c r="C9" s="8" t="inlineStr">
        <x:is>
          <x:t xml:space="preserve">Gasto</x:t>
        </x:is>
      </x:c>
      <x:c r="D9" s="8" t="inlineStr">
        <x:is>
          <x:t xml:space="preserve">Necesidades</x:t>
        </x:is>
      </x:c>
      <x:c r="E9" s="8" t="inlineStr">
        <x:is>
          <x:t xml:space="preserve">Salud</x:t>
        </x:is>
      </x:c>
      <x:c r="F9" s="8" t="inlineStr">
        <x:is>
          <x:t xml:space="preserve">Tarjeta</x:t>
        </x:is>
      </x:c>
      <x:c r="G9" s="8" t="inlineStr">
        <x:is>
          <x:t xml:space="preserve">Revolut</x:t>
        </x:is>
      </x:c>
      <x:c r="H9" s="9" t="n">
        <x:v>214.78</x:v>
      </x:c>
      <x:c r="I9" s="10" t="inlineStr">
        <x:is>
          <x:t xml:space="preserve"/>
        </x:is>
      </x:c>
      <x:c r="J9" s="8" t="inlineStr">
        <x:is>
          <x:t xml:space="preserve">2025-12</x:t>
        </x:is>
      </x:c>
      <x:c r="K9" s="21" t="inlineStr">
        <x:is>
          <x:t xml:space="preserve">Balance</x:t>
        </x:is>
      </x:c>
      <x:c r="L9" s="22">
        <x:f>L6-L7-L8</x:f>
        <x:v>10053.66</x:v>
      </x:c>
      <x:c r="U9" s="20" t="inlineStr">
        <x:is>
          <x:t xml:space="preserve"/>
        </x:is>
      </x:c>
    </x:row>
    <x:row r="10">
      <x:c r="A10" s="7" t="n">
        <x:v>46011</x:v>
      </x:c>
      <x:c r="B10" s="10" t="inlineStr">
        <x:is>
          <x:t xml:space="preserve">Comida</x:t>
        </x:is>
      </x:c>
      <x:c r="C10" s="8" t="inlineStr">
        <x:is>
          <x:t xml:space="preserve">Gasto</x:t>
        </x:is>
      </x:c>
      <x:c r="D10" s="8" t="inlineStr">
        <x:is>
          <x:t xml:space="preserve">Necesidades</x:t>
        </x:is>
      </x:c>
      <x:c r="E10" s="8" t="inlineStr">
        <x:is>
          <x:t xml:space="preserve">Comida</x:t>
        </x:is>
      </x:c>
      <x:c r="F10" s="8" t="inlineStr">
        <x:is>
          <x:t xml:space="preserve">Transferencia</x:t>
        </x:is>
      </x:c>
      <x:c r="G10" s="8" t="inlineStr">
        <x:is>
          <x:t xml:space="preserve">Tarjeta</x:t>
        </x:is>
      </x:c>
      <x:c r="H10" s="9" t="n">
        <x:v>69.16</x:v>
      </x:c>
      <x:c r="I10" s="10" t="inlineStr">
        <x:is>
          <x:t xml:space="preserve">extra</x:t>
        </x:is>
      </x:c>
      <x:c r="J10" s="8" t="inlineStr">
        <x:is>
          <x:t xml:space="preserve">2025-12</x:t>
        </x:is>
      </x:c>
      <x:c r="U10" s="20" t="inlineStr">
        <x:is>
          <x:t xml:space="preserve"/>
        </x:is>
      </x:c>
    </x:row>
    <x:row r="11">
      <x:c r="A11" s="7" t="n">
        <x:v>46011</x:v>
      </x:c>
      <x:c r="B11" s="10" t="inlineStr">
        <x:is>
          <x:t xml:space="preserve">Salud</x:t>
        </x:is>
      </x:c>
      <x:c r="C11" s="8" t="inlineStr">
        <x:is>
          <x:t xml:space="preserve">Gasto</x:t>
        </x:is>
      </x:c>
      <x:c r="D11" s="8" t="inlineStr">
        <x:is>
          <x:t xml:space="preserve">Necesidades</x:t>
        </x:is>
      </x:c>
      <x:c r="E11" s="8" t="inlineStr">
        <x:is>
          <x:t xml:space="preserve">Salud</x:t>
        </x:is>
      </x:c>
      <x:c r="F11" s="8" t="inlineStr">
        <x:is>
          <x:t xml:space="preserve">Efectivo</x:t>
        </x:is>
      </x:c>
      <x:c r="G11" s="8" t="inlineStr">
        <x:is>
          <x:t xml:space="preserve">Revolut</x:t>
        </x:is>
      </x:c>
      <x:c r="H11" s="9" t="n">
        <x:v>41.12</x:v>
      </x:c>
      <x:c r="I11" s="10" t="inlineStr">
        <x:is>
          <x:t xml:space="preserve">recurrente</x:t>
        </x:is>
      </x:c>
      <x:c r="J11" s="8" t="inlineStr">
        <x:is>
          <x:t xml:space="preserve">2025-12</x:t>
        </x:is>
      </x:c>
      <x:c r="K11" s="5" t="inlineStr">
        <x:is>
          <x:t xml:space="preserve">Presupuesto sugerido vs Real (mes seleccionado)</x:t>
        </x:is>
      </x:c>
      <x:c r="U11" s="20" t="inlineStr">
        <x:is>
          <x:t xml:space="preserve"/>
        </x:is>
      </x:c>
    </x:row>
    <x:row r="12">
      <x:c r="A12" s="7" t="n">
        <x:v>46012</x:v>
      </x:c>
      <x:c r="B12" s="10" t="inlineStr">
        <x:is>
          <x:t xml:space="preserve">Fondo emergencia</x:t>
        </x:is>
      </x:c>
      <x:c r="C12" s="8" t="inlineStr">
        <x:is>
          <x:t xml:space="preserve">Gasto</x:t>
        </x:is>
      </x:c>
      <x:c r="D12" s="8" t="inlineStr">
        <x:is>
          <x:t xml:space="preserve">Ahorro/Inversión</x:t>
        </x:is>
      </x:c>
      <x:c r="E12" s="8" t="inlineStr">
        <x:is>
          <x:t xml:space="preserve">Fondo emergencia</x:t>
        </x:is>
      </x:c>
      <x:c r="F12" s="8" t="inlineStr">
        <x:is>
          <x:t xml:space="preserve">Tarjeta</x:t>
        </x:is>
      </x:c>
      <x:c r="G12" s="8" t="inlineStr">
        <x:is>
          <x:t xml:space="preserve">Efectivo</x:t>
        </x:is>
      </x:c>
      <x:c r="H12" s="9" t="n">
        <x:v>45</x:v>
      </x:c>
      <x:c r="I12" s="10" t="inlineStr">
        <x:is>
          <x:t xml:space="preserve">extra</x:t>
        </x:is>
      </x:c>
      <x:c r="J12" s="8" t="inlineStr">
        <x:is>
          <x:t xml:space="preserve">2025-12</x:t>
        </x:is>
      </x:c>
      <x:c r="K12" s="6" t="inlineStr">
        <x:is>
          <x:t xml:space="preserve">Categoría</x:t>
        </x:is>
      </x:c>
      <x:c r="L12" s="6" t="inlineStr">
        <x:is>
          <x:t xml:space="preserve">% (editable)</x:t>
        </x:is>
      </x:c>
      <x:c r="M12" s="6" t="inlineStr">
        <x:is>
          <x:t xml:space="preserve">Sugerido</x:t>
        </x:is>
      </x:c>
      <x:c r="N12" s="6" t="inlineStr">
        <x:is>
          <x:t xml:space="preserve">Real</x:t>
        </x:is>
      </x:c>
      <x:c r="O12" s="6" t="inlineStr">
        <x:is>
          <x:t xml:space="preserve">Diferencia</x:t>
        </x:is>
      </x:c>
      <x:c r="U12" s="20" t="inlineStr">
        <x:is>
          <x:t xml:space="preserve"/>
        </x:is>
      </x:c>
    </x:row>
    <x:row r="13">
      <x:c r="A13" s="7" t="n">
        <x:v>46012</x:v>
      </x:c>
      <x:c r="B13" s="10" t="inlineStr">
        <x:is>
          <x:t xml:space="preserve">Restaurantes</x:t>
        </x:is>
      </x:c>
      <x:c r="C13" s="8" t="inlineStr">
        <x:is>
          <x:t xml:space="preserve">Gasto</x:t>
        </x:is>
      </x:c>
      <x:c r="D13" s="8" t="inlineStr">
        <x:is>
          <x:t xml:space="preserve">Deseos</x:t>
        </x:is>
      </x:c>
      <x:c r="E13" s="8" t="inlineStr">
        <x:is>
          <x:t xml:space="preserve">Restaurantes</x:t>
        </x:is>
      </x:c>
      <x:c r="F13" s="8" t="inlineStr">
        <x:is>
          <x:t xml:space="preserve">Transferencia</x:t>
        </x:is>
      </x:c>
      <x:c r="G13" s="8" t="inlineStr">
        <x:is>
          <x:t xml:space="preserve">Tarjeta</x:t>
        </x:is>
      </x:c>
      <x:c r="H13" s="9" t="n">
        <x:v>123.97</x:v>
      </x:c>
      <x:c r="I13" s="10" t="inlineStr">
        <x:is>
          <x:t xml:space="preserve"/>
        </x:is>
      </x:c>
      <x:c r="J13" s="8" t="inlineStr">
        <x:is>
          <x:t xml:space="preserve">2025-12</x:t>
        </x:is>
      </x:c>
      <x:c r="K13" s="13" t="inlineStr">
        <x:is>
          <x:t xml:space="preserve">Necesidades</x:t>
        </x:is>
      </x:c>
      <x:c r="L13" s="23" t="n">
        <x:v>0.5</x:v>
      </x:c>
      <x:c r="M13" s="14">
        <x:f>$B$2*$L13</x:f>
        <x:v>1100</x:v>
      </x:c>
      <x:c r="N13" s="14">
        <x:f>SUMIFS($H$6:$H$800,$D$6:$D$800,$K13,$J$6:$J$800,$B$3,$C$6:$C$800,"&lt;&gt;Ingreso")</x:f>
        <x:v>805.29</x:v>
      </x:c>
      <x:c r="O13" s="14">
        <x:f>M13-N13</x:f>
        <x:v>294.71000000000004</x:v>
      </x:c>
      <x:c r="U13" s="20" t="inlineStr">
        <x:is>
          <x:t xml:space="preserve"/>
        </x:is>
      </x:c>
    </x:row>
    <x:row r="14">
      <x:c r="A14" s="7" t="n">
        <x:v>46015</x:v>
      </x:c>
      <x:c r="B14" s="10" t="inlineStr">
        <x:is>
          <x:t xml:space="preserve">Comida</x:t>
        </x:is>
      </x:c>
      <x:c r="C14" s="8" t="inlineStr">
        <x:is>
          <x:t xml:space="preserve">Gasto</x:t>
        </x:is>
      </x:c>
      <x:c r="D14" s="8" t="inlineStr">
        <x:is>
          <x:t xml:space="preserve">Necesidades</x:t>
        </x:is>
      </x:c>
      <x:c r="E14" s="8" t="inlineStr">
        <x:is>
          <x:t xml:space="preserve">Comida</x:t>
        </x:is>
      </x:c>
      <x:c r="F14" s="8" t="inlineStr">
        <x:is>
          <x:t xml:space="preserve">Efectivo</x:t>
        </x:is>
      </x:c>
      <x:c r="G14" s="8" t="inlineStr">
        <x:is>
          <x:t xml:space="preserve">Tarjeta</x:t>
        </x:is>
      </x:c>
      <x:c r="H14" s="9" t="n">
        <x:v>235.18</x:v>
      </x:c>
      <x:c r="I14" s="10" t="inlineStr">
        <x:is>
          <x:t xml:space="preserve">extra</x:t>
        </x:is>
      </x:c>
      <x:c r="J14" s="8" t="inlineStr">
        <x:is>
          <x:t xml:space="preserve">2025-12</x:t>
        </x:is>
      </x:c>
      <x:c r="K14" s="13" t="inlineStr">
        <x:is>
          <x:t xml:space="preserve">Deseos</x:t>
        </x:is>
      </x:c>
      <x:c r="L14" s="23" t="n">
        <x:v>0.3</x:v>
      </x:c>
      <x:c r="M14" s="14">
        <x:f>$B$2*$L14</x:f>
        <x:v>660</x:v>
      </x:c>
      <x:c r="N14" s="14">
        <x:f>SUMIFS($H$6:$H$800,$D$6:$D$800,$K14,$J$6:$J$800,$B$3,$C$6:$C$800,"&lt;&gt;Ingreso")</x:f>
        <x:v>1058.84</x:v>
      </x:c>
      <x:c r="O14" s="14">
        <x:f>M14-N14</x:f>
        <x:v>-398.8399999999999</x:v>
      </x:c>
    </x:row>
    <x:row r="15">
      <x:c r="A15" s="7" t="n">
        <x:v>46016</x:v>
      </x:c>
      <x:c r="B15" s="10" t="inlineStr">
        <x:is>
          <x:t xml:space="preserve">ETF</x:t>
        </x:is>
      </x:c>
      <x:c r="C15" s="8" t="inlineStr">
        <x:is>
          <x:t xml:space="preserve">Gasto</x:t>
        </x:is>
      </x:c>
      <x:c r="D15" s="8" t="inlineStr">
        <x:is>
          <x:t xml:space="preserve">Ahorro/Inversión</x:t>
        </x:is>
      </x:c>
      <x:c r="E15" s="8" t="inlineStr">
        <x:is>
          <x:t xml:space="preserve">ETF</x:t>
        </x:is>
      </x:c>
      <x:c r="F15" s="8" t="inlineStr">
        <x:is>
          <x:t xml:space="preserve">Efectivo</x:t>
        </x:is>
      </x:c>
      <x:c r="G15" s="8" t="inlineStr">
        <x:is>
          <x:t xml:space="preserve">Efectivo</x:t>
        </x:is>
      </x:c>
      <x:c r="H15" s="9" t="n">
        <x:v>125.77</x:v>
      </x:c>
      <x:c r="I15" s="10" t="inlineStr">
        <x:is>
          <x:t xml:space="preserve">extra</x:t>
        </x:is>
      </x:c>
      <x:c r="J15" s="8" t="inlineStr">
        <x:is>
          <x:t xml:space="preserve">2025-12</x:t>
        </x:is>
      </x:c>
      <x:c r="K15" s="13" t="inlineStr">
        <x:is>
          <x:t xml:space="preserve">Ahorro/Inversión</x:t>
        </x:is>
      </x:c>
      <x:c r="L15" s="23" t="n">
        <x:v>0.2</x:v>
      </x:c>
      <x:c r="M15" s="14">
        <x:f>$B$2*$L15</x:f>
        <x:v>440</x:v>
      </x:c>
      <x:c r="N15" s="14">
        <x:f>SUMIFS($H$6:$H$800,$D$6:$D$800,$K15,$J$6:$J$800,$B$3,$C$6:$C$800,"&lt;&gt;Ingreso")</x:f>
        <x:v>646.42</x:v>
      </x:c>
      <x:c r="O15" s="14">
        <x:f>M15-N15</x:f>
        <x:v>-206.41999999999996</x:v>
      </x:c>
    </x:row>
    <x:row r="16">
      <x:c r="A16" s="7" t="n">
        <x:v>46018</x:v>
      </x:c>
      <x:c r="B16" s="10" t="inlineStr">
        <x:is>
          <x:t xml:space="preserve">Sueldo</x:t>
        </x:is>
      </x:c>
      <x:c r="C16" s="8" t="inlineStr">
        <x:is>
          <x:t xml:space="preserve">Ingreso</x:t>
        </x:is>
      </x:c>
      <x:c r="D16" s="8" t="inlineStr">
        <x:is>
          <x:t xml:space="preserve">Ingreso</x:t>
        </x:is>
      </x:c>
      <x:c r="E16" s="8" t="inlineStr">
        <x:is>
          <x:t xml:space="preserve">Sueldo</x:t>
        </x:is>
      </x:c>
      <x:c r="F16" s="8" t="inlineStr">
        <x:is>
          <x:t xml:space="preserve">Transferencia</x:t>
        </x:is>
      </x:c>
      <x:c r="G16" s="8" t="inlineStr">
        <x:is>
          <x:t xml:space="preserve">Efectivo</x:t>
        </x:is>
      </x:c>
      <x:c r="H16" s="9" t="n">
        <x:v>2209.77</x:v>
      </x:c>
      <x:c r="I16" s="10" t="inlineStr">
        <x:is>
          <x:t xml:space="preserve">extra</x:t>
        </x:is>
      </x:c>
      <x:c r="J16" s="8" t="inlineStr">
        <x:is>
          <x:t xml:space="preserve">2025-12</x:t>
        </x:is>
      </x:c>
      <x:c r="K16" s="13" t="inlineStr">
        <x:is>
          <x:t xml:space="preserve">Impuestos</x:t>
        </x:is>
      </x:c>
      <x:c r="L16" s="23" t="n">
        <x:v>0</x:v>
      </x:c>
      <x:c r="M16" s="14">
        <x:f>$B$2*$L16</x:f>
        <x:v>0</x:v>
      </x:c>
      <x:c r="N16" s="14">
        <x:f>SUMIFS($H$6:$H$800,$D$6:$D$800,$K16,$J$6:$J$800,$B$3,$C$6:$C$800,"&lt;&gt;Ingreso")</x:f>
        <x:v>496.37</x:v>
      </x:c>
      <x:c r="O16" s="14">
        <x:f>M16-N16</x:f>
        <x:v>-496.37</x:v>
      </x:c>
    </x:row>
    <x:row r="17">
      <x:c r="A17" s="7" t="n">
        <x:v>46021</x:v>
      </x:c>
      <x:c r="B17" s="10" t="inlineStr">
        <x:is>
          <x:t xml:space="preserve">Viajes</x:t>
        </x:is>
      </x:c>
      <x:c r="C17" s="8" t="inlineStr">
        <x:is>
          <x:t xml:space="preserve">Gasto</x:t>
        </x:is>
      </x:c>
      <x:c r="D17" s="8" t="inlineStr">
        <x:is>
          <x:t xml:space="preserve">Deseos</x:t>
        </x:is>
      </x:c>
      <x:c r="E17" s="8" t="inlineStr">
        <x:is>
          <x:t xml:space="preserve">Viajes</x:t>
        </x:is>
      </x:c>
      <x:c r="F17" s="8" t="inlineStr">
        <x:is>
          <x:t xml:space="preserve">Domiciliación</x:t>
        </x:is>
      </x:c>
      <x:c r="G17" s="8" t="inlineStr">
        <x:is>
          <x:t xml:space="preserve">Revolut</x:t>
        </x:is>
      </x:c>
      <x:c r="H17" s="9" t="n">
        <x:v>139.84</x:v>
      </x:c>
      <x:c r="I17" s="10" t="inlineStr">
        <x:is>
          <x:t xml:space="preserve"/>
        </x:is>
      </x:c>
      <x:c r="J17" s="8" t="inlineStr">
        <x:is>
          <x:t xml:space="preserve">2025-12</x:t>
        </x:is>
      </x:c>
      <x:c r="K17" s="24" t="inlineStr">
        <x:is>
          <x:t xml:space="preserve">TOTAL</x:t>
        </x:is>
      </x:c>
      <x:c r="L17" s="25">
        <x:f>SUM(L13:L16)</x:f>
        <x:v>1</x:v>
      </x:c>
      <x:c r="M17" s="26">
        <x:f>SUM(M13:M16)</x:f>
        <x:v>2200</x:v>
      </x:c>
      <x:c r="N17" s="26">
        <x:f>SUM(N13:N16)</x:f>
        <x:v>3006.92</x:v>
      </x:c>
      <x:c r="O17" s="26">
        <x:f>SUM(O13:O16)</x:f>
        <x:v>-806.9199999999998</x:v>
      </x:c>
    </x:row>
    <x:row r="18">
      <x:c r="A18" s="7" t="n">
        <x:v>46023</x:v>
      </x:c>
      <x:c r="B18" s="10" t="inlineStr">
        <x:is>
          <x:t xml:space="preserve">Servicios</x:t>
        </x:is>
      </x:c>
      <x:c r="C18" s="8" t="inlineStr">
        <x:is>
          <x:t xml:space="preserve">Gasto</x:t>
        </x:is>
      </x:c>
      <x:c r="D18" s="8" t="inlineStr">
        <x:is>
          <x:t xml:space="preserve">Necesidades</x:t>
        </x:is>
      </x:c>
      <x:c r="E18" s="8" t="inlineStr">
        <x:is>
          <x:t xml:space="preserve">Servicios</x:t>
        </x:is>
      </x:c>
      <x:c r="F18" s="8" t="inlineStr">
        <x:is>
          <x:t xml:space="preserve">Transferencia</x:t>
        </x:is>
      </x:c>
      <x:c r="G18" s="8" t="inlineStr">
        <x:is>
          <x:t xml:space="preserve">Tarjeta</x:t>
        </x:is>
      </x:c>
      <x:c r="H18" s="9" t="n">
        <x:v>221.81</x:v>
      </x:c>
      <x:c r="I18" s="10" t="inlineStr">
        <x:is>
          <x:t xml:space="preserve">recurrente</x:t>
        </x:is>
      </x:c>
      <x:c r="J18" s="8" t="inlineStr">
        <x:is>
          <x:t xml:space="preserve">2026-01</x:t>
        </x:is>
      </x:c>
    </x:row>
    <x:row r="19">
      <x:c r="A19" s="7" t="n">
        <x:v>46024</x:v>
      </x:c>
      <x:c r="B19" s="10" t="inlineStr">
        <x:is>
          <x:t xml:space="preserve">Sueldo</x:t>
        </x:is>
      </x:c>
      <x:c r="C19" s="8" t="inlineStr">
        <x:is>
          <x:t xml:space="preserve">Ingreso</x:t>
        </x:is>
      </x:c>
      <x:c r="D19" s="8" t="inlineStr">
        <x:is>
          <x:t xml:space="preserve">Ingreso</x:t>
        </x:is>
      </x:c>
      <x:c r="E19" s="8" t="inlineStr">
        <x:is>
          <x:t xml:space="preserve">Sueldo</x:t>
        </x:is>
      </x:c>
      <x:c r="F19" s="8" t="inlineStr">
        <x:is>
          <x:t xml:space="preserve">Domiciliación</x:t>
        </x:is>
      </x:c>
      <x:c r="G19" s="8" t="inlineStr">
        <x:is>
          <x:t xml:space="preserve">Tarjeta</x:t>
        </x:is>
      </x:c>
      <x:c r="H19" s="9" t="n">
        <x:v>2334.12</x:v>
      </x:c>
      <x:c r="I19" s="10" t="inlineStr">
        <x:is>
          <x:t xml:space="preserve"/>
        </x:is>
      </x:c>
      <x:c r="J19" s="8" t="inlineStr">
        <x:is>
          <x:t xml:space="preserve">2026-01</x:t>
        </x:is>
      </x:c>
    </x:row>
    <x:row r="20">
      <x:c r="A20" s="7" t="n">
        <x:v>46024</x:v>
      </x:c>
      <x:c r="B20" s="10" t="inlineStr">
        <x:is>
          <x:t xml:space="preserve">Transporte</x:t>
        </x:is>
      </x:c>
      <x:c r="C20" s="8" t="inlineStr">
        <x:is>
          <x:t xml:space="preserve">Gasto</x:t>
        </x:is>
      </x:c>
      <x:c r="D20" s="8" t="inlineStr">
        <x:is>
          <x:t xml:space="preserve">Necesidades</x:t>
        </x:is>
      </x:c>
      <x:c r="E20" s="8" t="inlineStr">
        <x:is>
          <x:t xml:space="preserve">Transporte</x:t>
        </x:is>
      </x:c>
      <x:c r="F20" s="8" t="inlineStr">
        <x:is>
          <x:t xml:space="preserve">Efectivo</x:t>
        </x:is>
      </x:c>
      <x:c r="G20" s="8" t="inlineStr">
        <x:is>
          <x:t xml:space="preserve">Efectivo</x:t>
        </x:is>
      </x:c>
      <x:c r="H20" s="9" t="n">
        <x:v>5.43</x:v>
      </x:c>
      <x:c r="I20" s="10" t="inlineStr">
        <x:is>
          <x:t xml:space="preserve"/>
        </x:is>
      </x:c>
      <x:c r="J20" s="8" t="inlineStr">
        <x:is>
          <x:t xml:space="preserve">2026-01</x:t>
        </x:is>
      </x:c>
    </x:row>
    <x:row r="21">
      <x:c r="A21" s="7" t="n">
        <x:v>46025</x:v>
      </x:c>
      <x:c r="B21" s="10" t="inlineStr">
        <x:is>
          <x:t xml:space="preserve">Alquiler</x:t>
        </x:is>
      </x:c>
      <x:c r="C21" s="8" t="inlineStr">
        <x:is>
          <x:t xml:space="preserve">Gasto</x:t>
        </x:is>
      </x:c>
      <x:c r="D21" s="8" t="inlineStr">
        <x:is>
          <x:t xml:space="preserve">Necesidades</x:t>
        </x:is>
      </x:c>
      <x:c r="E21" s="8" t="inlineStr">
        <x:is>
          <x:t xml:space="preserve">Alquiler</x:t>
        </x:is>
      </x:c>
      <x:c r="F21" s="8" t="inlineStr">
        <x:is>
          <x:t xml:space="preserve">Transferencia</x:t>
        </x:is>
      </x:c>
      <x:c r="G21" s="8" t="inlineStr">
        <x:is>
          <x:t xml:space="preserve">Efectivo</x:t>
        </x:is>
      </x:c>
      <x:c r="H21" s="9" t="n">
        <x:v>134.01</x:v>
      </x:c>
      <x:c r="I21" s="10" t="inlineStr">
        <x:is>
          <x:t xml:space="preserve">recurrente</x:t>
        </x:is>
      </x:c>
      <x:c r="J21" s="8" t="inlineStr">
        <x:is>
          <x:t xml:space="preserve">2026-01</x:t>
        </x:is>
      </x:c>
    </x:row>
    <x:row r="22">
      <x:c r="A22" s="7" t="n">
        <x:v>46026</x:v>
      </x:c>
      <x:c r="B22" s="10" t="inlineStr">
        <x:is>
          <x:t xml:space="preserve">Viajes</x:t>
        </x:is>
      </x:c>
      <x:c r="C22" s="8" t="inlineStr">
        <x:is>
          <x:t xml:space="preserve">Gasto</x:t>
        </x:is>
      </x:c>
      <x:c r="D22" s="8" t="inlineStr">
        <x:is>
          <x:t xml:space="preserve">Deseos</x:t>
        </x:is>
      </x:c>
      <x:c r="E22" s="8" t="inlineStr">
        <x:is>
          <x:t xml:space="preserve">Viajes</x:t>
        </x:is>
      </x:c>
      <x:c r="F22" s="8" t="inlineStr">
        <x:is>
          <x:t xml:space="preserve">Transferencia</x:t>
        </x:is>
      </x:c>
      <x:c r="G22" s="8" t="inlineStr">
        <x:is>
          <x:t xml:space="preserve">Efectivo</x:t>
        </x:is>
      </x:c>
      <x:c r="H22" s="9" t="n">
        <x:v>202.59</x:v>
      </x:c>
      <x:c r="I22" s="10" t="inlineStr">
        <x:is>
          <x:t xml:space="preserve">extra</x:t>
        </x:is>
      </x:c>
      <x:c r="J22" s="8" t="inlineStr">
        <x:is>
          <x:t xml:space="preserve">2026-01</x:t>
        </x:is>
      </x:c>
      <x:c r="K22" s="5" t="inlineStr">
        <x:is>
          <x:t xml:space="preserve">Resumen mensual (tipo tabla dinámica)</x:t>
        </x:is>
      </x:c>
    </x:row>
    <x:row r="23">
      <x:c r="A23" s="7" t="n">
        <x:v>46026</x:v>
      </x:c>
      <x:c r="B23" s="10" t="inlineStr">
        <x:is>
          <x:t xml:space="preserve">Sueldo</x:t>
        </x:is>
      </x:c>
      <x:c r="C23" s="8" t="inlineStr">
        <x:is>
          <x:t xml:space="preserve">Ingreso</x:t>
        </x:is>
      </x:c>
      <x:c r="D23" s="8" t="inlineStr">
        <x:is>
          <x:t xml:space="preserve">Ingreso</x:t>
        </x:is>
      </x:c>
      <x:c r="E23" s="8" t="inlineStr">
        <x:is>
          <x:t xml:space="preserve">Sueldo</x:t>
        </x:is>
      </x:c>
      <x:c r="F23" s="8" t="inlineStr">
        <x:is>
          <x:t xml:space="preserve">Domiciliación</x:t>
        </x:is>
      </x:c>
      <x:c r="G23" s="8" t="inlineStr">
        <x:is>
          <x:t xml:space="preserve">Efectivo</x:t>
        </x:is>
      </x:c>
      <x:c r="H23" s="9" t="n">
        <x:v>2196.68</x:v>
      </x:c>
      <x:c r="I23" s="10" t="inlineStr">
        <x:is>
          <x:t xml:space="preserve">extra</x:t>
        </x:is>
      </x:c>
      <x:c r="J23" s="8" t="inlineStr">
        <x:is>
          <x:t xml:space="preserve">2026-01</x:t>
        </x:is>
      </x:c>
      <x:c r="K23" s="6" t="inlineStr">
        <x:is>
          <x:t xml:space="preserve">Mes</x:t>
        </x:is>
      </x:c>
      <x:c r="L23" s="6" t="inlineStr">
        <x:is>
          <x:t xml:space="preserve">Ingresos</x:t>
        </x:is>
      </x:c>
      <x:c r="M23" s="6" t="inlineStr">
        <x:is>
          <x:t xml:space="preserve">Gastos</x:t>
        </x:is>
      </x:c>
      <x:c r="N23" s="6" t="inlineStr">
        <x:is>
          <x:t xml:space="preserve">Ahorro</x:t>
        </x:is>
      </x:c>
      <x:c r="O23" s="6" t="inlineStr">
        <x:is>
          <x:t xml:space="preserve">Balance</x:t>
        </x:is>
      </x:c>
    </x:row>
    <x:row r="24">
      <x:c r="A24" s="7" t="n">
        <x:v>46029</x:v>
      </x:c>
      <x:c r="B24" s="10" t="inlineStr">
        <x:is>
          <x:t xml:space="preserve">Sueldo</x:t>
        </x:is>
      </x:c>
      <x:c r="C24" s="8" t="inlineStr">
        <x:is>
          <x:t xml:space="preserve">Ingreso</x:t>
        </x:is>
      </x:c>
      <x:c r="D24" s="8" t="inlineStr">
        <x:is>
          <x:t xml:space="preserve">Ingreso</x:t>
        </x:is>
      </x:c>
      <x:c r="E24" s="8" t="inlineStr">
        <x:is>
          <x:t xml:space="preserve">Sueldo</x:t>
        </x:is>
      </x:c>
      <x:c r="F24" s="8" t="inlineStr">
        <x:is>
          <x:t xml:space="preserve">Domiciliación</x:t>
        </x:is>
      </x:c>
      <x:c r="G24" s="8" t="inlineStr">
        <x:is>
          <x:t xml:space="preserve">Revolut</x:t>
        </x:is>
      </x:c>
      <x:c r="H24" s="9" t="n">
        <x:v>2152.65</x:v>
      </x:c>
      <x:c r="I24" s="10" t="inlineStr">
        <x:is>
          <x:t xml:space="preserve">recurrente</x:t>
        </x:is>
      </x:c>
      <x:c r="J24" s="8" t="inlineStr">
        <x:is>
          <x:t xml:space="preserve">2026-01</x:t>
        </x:is>
      </x:c>
      <x:c r="K24" s="13" t="inlineStr">
        <x:is>
          <x:t xml:space="preserve">2025-12</x:t>
        </x:is>
      </x:c>
      <x:c r="L24" s="14">
        <x:f>SUMIFS($H$6:$H$800,$C$6:$C$800,"Ingreso",$J$6:$J$800,$K24)</x:f>
        <x:v>4412.030000000001</x:v>
      </x:c>
      <x:c r="M24" s="14">
        <x:f>SUMIFS($H$6:$H$800,$C$6:$C$800,"Gasto",$J$6:$J$800,$K24)</x:f>
        <x:v>1406.1699999999998</x:v>
      </x:c>
      <x:c r="N24" s="14">
        <x:f>SUMIFS($H$6:$H$800,$C$6:$C$800,"Ahorro",$J$6:$J$800,$K24)</x:f>
        <x:v>0</x:v>
      </x:c>
      <x:c r="O24" s="14">
        <x:f>L24-M24-N24</x:f>
        <x:v>3005.8600000000006</x:v>
      </x:c>
    </x:row>
    <x:row r="25">
      <x:c r="A25" s="7" t="n">
        <x:v>46031</x:v>
      </x:c>
      <x:c r="B25" s="10" t="inlineStr">
        <x:is>
          <x:t xml:space="preserve">Servicios</x:t>
        </x:is>
      </x:c>
      <x:c r="C25" s="8" t="inlineStr">
        <x:is>
          <x:t xml:space="preserve">Gasto</x:t>
        </x:is>
      </x:c>
      <x:c r="D25" s="8" t="inlineStr">
        <x:is>
          <x:t xml:space="preserve">Necesidades</x:t>
        </x:is>
      </x:c>
      <x:c r="E25" s="8" t="inlineStr">
        <x:is>
          <x:t xml:space="preserve">Servicios</x:t>
        </x:is>
      </x:c>
      <x:c r="F25" s="8" t="inlineStr">
        <x:is>
          <x:t xml:space="preserve">Tarjeta</x:t>
        </x:is>
      </x:c>
      <x:c r="G25" s="8" t="inlineStr">
        <x:is>
          <x:t xml:space="preserve">Tarjeta</x:t>
        </x:is>
      </x:c>
      <x:c r="H25" s="9" t="n">
        <x:v>113.32</x:v>
      </x:c>
      <x:c r="I25" s="10" t="inlineStr">
        <x:is>
          <x:t xml:space="preserve"/>
        </x:is>
      </x:c>
      <x:c r="J25" s="8" t="inlineStr">
        <x:is>
          <x:t xml:space="preserve">2026-01</x:t>
        </x:is>
      </x:c>
      <x:c r="K25" s="13" t="inlineStr">
        <x:is>
          <x:t xml:space="preserve">2026-01</x:t>
        </x:is>
      </x:c>
      <x:c r="L25" s="14">
        <x:f>SUMIFS($H$6:$H$800,$C$6:$C$800,"Ingreso",$J$6:$J$800,$K25)</x:f>
        <x:v>13060.58</x:v>
      </x:c>
      <x:c r="M25" s="14">
        <x:f>SUMIFS($H$6:$H$800,$C$6:$C$800,"Gasto",$J$6:$J$800,$K25)</x:f>
        <x:v>2883.610000000001</x:v>
      </x:c>
      <x:c r="N25" s="14">
        <x:f>SUMIFS($H$6:$H$800,$C$6:$C$800,"Ahorro",$J$6:$J$800,$K25)</x:f>
        <x:v>123.31</x:v>
      </x:c>
      <x:c r="O25" s="14">
        <x:f>L25-M25-N25</x:f>
        <x:v>10053.66</x:v>
      </x:c>
    </x:row>
    <x:row r="26">
      <x:c r="A26" s="7" t="n">
        <x:v>46031</x:v>
      </x:c>
      <x:c r="B26" s="10" t="inlineStr">
        <x:is>
          <x:t xml:space="preserve">Fondo emergencia</x:t>
        </x:is>
      </x:c>
      <x:c r="C26" s="8" t="inlineStr">
        <x:is>
          <x:t xml:space="preserve">Ahorro</x:t>
        </x:is>
      </x:c>
      <x:c r="D26" s="8" t="inlineStr">
        <x:is>
          <x:t xml:space="preserve">Ahorro/Inversión</x:t>
        </x:is>
      </x:c>
      <x:c r="E26" s="8" t="inlineStr">
        <x:is>
          <x:t xml:space="preserve">Fondo emergencia</x:t>
        </x:is>
      </x:c>
      <x:c r="F26" s="8" t="inlineStr">
        <x:is>
          <x:t xml:space="preserve">Domiciliación</x:t>
        </x:is>
      </x:c>
      <x:c r="G26" s="8" t="inlineStr">
        <x:is>
          <x:t xml:space="preserve">Efectivo</x:t>
        </x:is>
      </x:c>
      <x:c r="H26" s="9" t="n">
        <x:v>96.19</x:v>
      </x:c>
      <x:c r="I26" s="10" t="inlineStr">
        <x:is>
          <x:t xml:space="preserve"/>
        </x:is>
      </x:c>
      <x:c r="J26" s="8" t="inlineStr">
        <x:is>
          <x:t xml:space="preserve">2026-01</x:t>
        </x:is>
      </x:c>
      <x:c r="K26" s="13" t="inlineStr">
        <x:is>
          <x:t xml:space="preserve">2026-02</x:t>
        </x:is>
      </x:c>
      <x:c r="L26" s="14">
        <x:f>SUMIFS($H$6:$H$800,$C$6:$C$800,"Ingreso",$J$6:$J$800,$K26)</x:f>
        <x:v>0</x:v>
      </x:c>
      <x:c r="M26" s="14">
        <x:f>SUMIFS($H$6:$H$800,$C$6:$C$800,"Gasto",$J$6:$J$800,$K26)</x:f>
        <x:v>333.77000000000004</x:v>
      </x:c>
      <x:c r="N26" s="14">
        <x:f>SUMIFS($H$6:$H$800,$C$6:$C$800,"Ahorro",$J$6:$J$800,$K26)</x:f>
        <x:v>0</x:v>
      </x:c>
      <x:c r="O26" s="14">
        <x:f>L26-M26-N26</x:f>
        <x:v>-333.77000000000004</x:v>
      </x:c>
    </x:row>
    <x:row r="27">
      <x:c r="A27" s="7" t="n">
        <x:v>46032</x:v>
      </x:c>
      <x:c r="B27" s="10" t="inlineStr">
        <x:is>
          <x:t xml:space="preserve">Salud</x:t>
        </x:is>
      </x:c>
      <x:c r="C27" s="8" t="inlineStr">
        <x:is>
          <x:t xml:space="preserve">Ahorro</x:t>
        </x:is>
      </x:c>
      <x:c r="D27" s="8" t="inlineStr">
        <x:is>
          <x:t xml:space="preserve">Ahorro/Inversión</x:t>
        </x:is>
      </x:c>
      <x:c r="E27" s="8" t="inlineStr">
        <x:is>
          <x:t xml:space="preserve">Salud</x:t>
        </x:is>
      </x:c>
      <x:c r="F27" s="8" t="inlineStr">
        <x:is>
          <x:t xml:space="preserve">Efectivo</x:t>
        </x:is>
      </x:c>
      <x:c r="G27" s="8" t="inlineStr">
        <x:is>
          <x:t xml:space="preserve">Revolut</x:t>
        </x:is>
      </x:c>
      <x:c r="H27" s="9" t="n">
        <x:v>27.12</x:v>
      </x:c>
      <x:c r="I27" s="10" t="inlineStr">
        <x:is>
          <x:t xml:space="preserve">recurrente</x:t>
        </x:is>
      </x:c>
      <x:c r="J27" s="8" t="inlineStr">
        <x:is>
          <x:t xml:space="preserve">2026-01</x:t>
        </x:is>
      </x:c>
    </x:row>
    <x:row r="28">
      <x:c r="A28" s="7" t="n">
        <x:v>46033</x:v>
      </x:c>
      <x:c r="B28" s="10" t="inlineStr">
        <x:is>
          <x:t xml:space="preserve">Sueldo</x:t>
        </x:is>
      </x:c>
      <x:c r="C28" s="8" t="inlineStr">
        <x:is>
          <x:t xml:space="preserve">Ingreso</x:t>
        </x:is>
      </x:c>
      <x:c r="D28" s="8" t="inlineStr">
        <x:is>
          <x:t xml:space="preserve">Ingreso</x:t>
        </x:is>
      </x:c>
      <x:c r="E28" s="8" t="inlineStr">
        <x:is>
          <x:t xml:space="preserve">Sueldo</x:t>
        </x:is>
      </x:c>
      <x:c r="F28" s="8" t="inlineStr">
        <x:is>
          <x:t xml:space="preserve">Transferencia</x:t>
        </x:is>
      </x:c>
      <x:c r="G28" s="8" t="inlineStr">
        <x:is>
          <x:t xml:space="preserve">Revolut</x:t>
        </x:is>
      </x:c>
      <x:c r="H28" s="9" t="n">
        <x:v>2085.11</x:v>
      </x:c>
      <x:c r="I28" s="10" t="inlineStr">
        <x:is>
          <x:t xml:space="preserve">extra</x:t>
        </x:is>
      </x:c>
      <x:c r="J28" s="8" t="inlineStr">
        <x:is>
          <x:t xml:space="preserve">2026-01</x:t>
        </x:is>
      </x:c>
    </x:row>
    <x:row r="29">
      <x:c r="A29" s="7" t="n">
        <x:v>46034</x:v>
      </x:c>
      <x:c r="B29" s="10" t="inlineStr">
        <x:is>
          <x:t xml:space="preserve">Fondo emergencia</x:t>
        </x:is>
      </x:c>
      <x:c r="C29" s="8" t="inlineStr">
        <x:is>
          <x:t xml:space="preserve">Gasto</x:t>
        </x:is>
      </x:c>
      <x:c r="D29" s="8" t="inlineStr">
        <x:is>
          <x:t xml:space="preserve">Ahorro/Inversión</x:t>
        </x:is>
      </x:c>
      <x:c r="E29" s="8" t="inlineStr">
        <x:is>
          <x:t xml:space="preserve">Fondo emergencia</x:t>
        </x:is>
      </x:c>
      <x:c r="F29" s="8" t="inlineStr">
        <x:is>
          <x:t xml:space="preserve">Efectivo</x:t>
        </x:is>
      </x:c>
      <x:c r="G29" s="8" t="inlineStr">
        <x:is>
          <x:t xml:space="preserve">Tarjeta</x:t>
        </x:is>
      </x:c>
      <x:c r="H29" s="9" t="n">
        <x:v>73.26000000000001</x:v>
      </x:c>
      <x:c r="I29" s="10" t="inlineStr">
        <x:is>
          <x:t xml:space="preserve"/>
        </x:is>
      </x:c>
      <x:c r="J29" s="8" t="inlineStr">
        <x:is>
          <x:t xml:space="preserve">2026-01</x:t>
        </x:is>
      </x:c>
    </x:row>
    <x:row r="30">
      <x:c r="A30" s="7" t="n">
        <x:v>46035</x:v>
      </x:c>
      <x:c r="B30" s="10" t="inlineStr">
        <x:is>
          <x:t xml:space="preserve">Fondo emergencia</x:t>
        </x:is>
      </x:c>
      <x:c r="C30" s="8" t="inlineStr">
        <x:is>
          <x:t xml:space="preserve">Gasto</x:t>
        </x:is>
      </x:c>
      <x:c r="D30" s="8" t="inlineStr">
        <x:is>
          <x:t xml:space="preserve">Ahorro/Inversión</x:t>
        </x:is>
      </x:c>
      <x:c r="E30" s="8" t="inlineStr">
        <x:is>
          <x:t xml:space="preserve">Fondo emergencia</x:t>
        </x:is>
      </x:c>
      <x:c r="F30" s="8" t="inlineStr">
        <x:is>
          <x:t xml:space="preserve">Transferencia</x:t>
        </x:is>
      </x:c>
      <x:c r="G30" s="8" t="inlineStr">
        <x:is>
          <x:t xml:space="preserve">Revolut</x:t>
        </x:is>
      </x:c>
      <x:c r="H30" s="9" t="n">
        <x:v>14.7</x:v>
      </x:c>
      <x:c r="I30" s="10" t="inlineStr">
        <x:is>
          <x:t xml:space="preserve">recurrente</x:t>
        </x:is>
      </x:c>
      <x:c r="J30" s="8" t="inlineStr">
        <x:is>
          <x:t xml:space="preserve">2026-01</x:t>
        </x:is>
      </x:c>
    </x:row>
    <x:row r="31">
      <x:c r="A31" s="7" t="n">
        <x:v>46035</x:v>
      </x:c>
      <x:c r="B31" s="10" t="inlineStr">
        <x:is>
          <x:t xml:space="preserve">Sueldo</x:t>
        </x:is>
      </x:c>
      <x:c r="C31" s="8" t="inlineStr">
        <x:is>
          <x:t xml:space="preserve">Ingreso</x:t>
        </x:is>
      </x:c>
      <x:c r="D31" s="8" t="inlineStr">
        <x:is>
          <x:t xml:space="preserve">Ingreso</x:t>
        </x:is>
      </x:c>
      <x:c r="E31" s="8" t="inlineStr">
        <x:is>
          <x:t xml:space="preserve">Sueldo</x:t>
        </x:is>
      </x:c>
      <x:c r="F31" s="8" t="inlineStr">
        <x:is>
          <x:t xml:space="preserve">Efectivo</x:t>
        </x:is>
      </x:c>
      <x:c r="G31" s="8" t="inlineStr">
        <x:is>
          <x:t xml:space="preserve">Cuenta corriente</x:t>
        </x:is>
      </x:c>
      <x:c r="H31" s="9" t="n">
        <x:v>2016.74</x:v>
      </x:c>
      <x:c r="I31" s="10" t="inlineStr">
        <x:is>
          <x:t xml:space="preserve"/>
        </x:is>
      </x:c>
      <x:c r="J31" s="8" t="inlineStr">
        <x:is>
          <x:t xml:space="preserve">2026-01</x:t>
        </x:is>
      </x:c>
    </x:row>
    <x:row r="32">
      <x:c r="A32" s="7" t="n">
        <x:v>46036</x:v>
      </x:c>
      <x:c r="B32" s="10" t="inlineStr">
        <x:is>
          <x:t xml:space="preserve">Tasa municipal</x:t>
        </x:is>
      </x:c>
      <x:c r="C32" s="8" t="inlineStr">
        <x:is>
          <x:t xml:space="preserve">Gasto</x:t>
        </x:is>
      </x:c>
      <x:c r="D32" s="8" t="inlineStr">
        <x:is>
          <x:t xml:space="preserve">Impuestos</x:t>
        </x:is>
      </x:c>
      <x:c r="E32" s="8" t="inlineStr">
        <x:is>
          <x:t xml:space="preserve">Tasa municipal</x:t>
        </x:is>
      </x:c>
      <x:c r="F32" s="8" t="inlineStr">
        <x:is>
          <x:t xml:space="preserve">Tarjeta</x:t>
        </x:is>
      </x:c>
      <x:c r="G32" s="8" t="inlineStr">
        <x:is>
          <x:t xml:space="preserve">Efectivo</x:t>
        </x:is>
      </x:c>
      <x:c r="H32" s="9" t="n">
        <x:v>212.16</x:v>
      </x:c>
      <x:c r="I32" s="10" t="inlineStr">
        <x:is>
          <x:t xml:space="preserve">extra</x:t>
        </x:is>
      </x:c>
      <x:c r="J32" s="8" t="inlineStr">
        <x:is>
          <x:t xml:space="preserve">2026-01</x:t>
        </x:is>
      </x:c>
    </x:row>
    <x:row r="33">
      <x:c r="A33" s="7" t="n">
        <x:v>46037</x:v>
      </x:c>
      <x:c r="B33" s="10" t="inlineStr">
        <x:is>
          <x:t xml:space="preserve">Salud</x:t>
        </x:is>
      </x:c>
      <x:c r="C33" s="8" t="inlineStr">
        <x:is>
          <x:t xml:space="preserve">Gasto</x:t>
        </x:is>
      </x:c>
      <x:c r="D33" s="8" t="inlineStr">
        <x:is>
          <x:t xml:space="preserve">Necesidades</x:t>
        </x:is>
      </x:c>
      <x:c r="E33" s="8" t="inlineStr">
        <x:is>
          <x:t xml:space="preserve">Salud</x:t>
        </x:is>
      </x:c>
      <x:c r="F33" s="8" t="inlineStr">
        <x:is>
          <x:t xml:space="preserve">Tarjeta</x:t>
        </x:is>
      </x:c>
      <x:c r="G33" s="8" t="inlineStr">
        <x:is>
          <x:t xml:space="preserve">Cuenta corriente</x:t>
        </x:is>
      </x:c>
      <x:c r="H33" s="9" t="n">
        <x:v>115.78</x:v>
      </x:c>
      <x:c r="I33" s="10" t="inlineStr">
        <x:is>
          <x:t xml:space="preserve"/>
        </x:is>
      </x:c>
      <x:c r="J33" s="8" t="inlineStr">
        <x:is>
          <x:t xml:space="preserve">2026-01</x:t>
        </x:is>
      </x:c>
    </x:row>
    <x:row r="34">
      <x:c r="A34" s="7" t="n">
        <x:v>46037</x:v>
      </x:c>
      <x:c r="B34" s="10" t="inlineStr">
        <x:is>
          <x:t xml:space="preserve">Ropa</x:t>
        </x:is>
      </x:c>
      <x:c r="C34" s="8" t="inlineStr">
        <x:is>
          <x:t xml:space="preserve">Gasto</x:t>
        </x:is>
      </x:c>
      <x:c r="D34" s="8" t="inlineStr">
        <x:is>
          <x:t xml:space="preserve">Deseos</x:t>
        </x:is>
      </x:c>
      <x:c r="E34" s="8" t="inlineStr">
        <x:is>
          <x:t xml:space="preserve">Ropa</x:t>
        </x:is>
      </x:c>
      <x:c r="F34" s="8" t="inlineStr">
        <x:is>
          <x:t xml:space="preserve">Tarjeta</x:t>
        </x:is>
      </x:c>
      <x:c r="G34" s="8" t="inlineStr">
        <x:is>
          <x:t xml:space="preserve">Revolut</x:t>
        </x:is>
      </x:c>
      <x:c r="H34" s="9" t="n">
        <x:v>70.91</x:v>
      </x:c>
      <x:c r="I34" s="10" t="inlineStr">
        <x:is>
          <x:t xml:space="preserve">extra</x:t>
        </x:is>
      </x:c>
      <x:c r="J34" s="8" t="inlineStr">
        <x:is>
          <x:t xml:space="preserve">2026-01</x:t>
        </x:is>
      </x:c>
    </x:row>
    <x:row r="35">
      <x:c r="A35" s="7" t="n">
        <x:v>46037</x:v>
      </x:c>
      <x:c r="B35" s="10" t="inlineStr">
        <x:is>
          <x:t xml:space="preserve">ETF</x:t>
        </x:is>
      </x:c>
      <x:c r="C35" s="8" t="inlineStr">
        <x:is>
          <x:t xml:space="preserve">Gasto</x:t>
        </x:is>
      </x:c>
      <x:c r="D35" s="8" t="inlineStr">
        <x:is>
          <x:t xml:space="preserve">Ahorro/Inversión</x:t>
        </x:is>
      </x:c>
      <x:c r="E35" s="8" t="inlineStr">
        <x:is>
          <x:t xml:space="preserve">ETF</x:t>
        </x:is>
      </x:c>
      <x:c r="F35" s="8" t="inlineStr">
        <x:is>
          <x:t xml:space="preserve">Tarjeta</x:t>
        </x:is>
      </x:c>
      <x:c r="G35" s="8" t="inlineStr">
        <x:is>
          <x:t xml:space="preserve">Efectivo</x:t>
        </x:is>
      </x:c>
      <x:c r="H35" s="9" t="n">
        <x:v>40.25</x:v>
      </x:c>
      <x:c r="I35" s="10" t="inlineStr">
        <x:is>
          <x:t xml:space="preserve"/>
        </x:is>
      </x:c>
      <x:c r="J35" s="8" t="inlineStr">
        <x:is>
          <x:t xml:space="preserve">2026-01</x:t>
        </x:is>
      </x:c>
    </x:row>
    <x:row r="36">
      <x:c r="A36" s="7" t="n">
        <x:v>46037</x:v>
      </x:c>
      <x:c r="B36" s="10" t="inlineStr">
        <x:is>
          <x:t xml:space="preserve">Tasa municipal</x:t>
        </x:is>
      </x:c>
      <x:c r="C36" s="8" t="inlineStr">
        <x:is>
          <x:t xml:space="preserve">Gasto</x:t>
        </x:is>
      </x:c>
      <x:c r="D36" s="8" t="inlineStr">
        <x:is>
          <x:t xml:space="preserve">Impuestos</x:t>
        </x:is>
      </x:c>
      <x:c r="E36" s="8" t="inlineStr">
        <x:is>
          <x:t xml:space="preserve">Tasa municipal</x:t>
        </x:is>
      </x:c>
      <x:c r="F36" s="8" t="inlineStr">
        <x:is>
          <x:t xml:space="preserve">Tarjeta</x:t>
        </x:is>
      </x:c>
      <x:c r="G36" s="8" t="inlineStr">
        <x:is>
          <x:t xml:space="preserve">Tarjeta</x:t>
        </x:is>
      </x:c>
      <x:c r="H36" s="9" t="n">
        <x:v>212.93</x:v>
      </x:c>
      <x:c r="I36" s="10" t="inlineStr">
        <x:is>
          <x:t xml:space="preserve"/>
        </x:is>
      </x:c>
      <x:c r="J36" s="8" t="inlineStr">
        <x:is>
          <x:t xml:space="preserve">2026-01</x:t>
        </x:is>
      </x:c>
    </x:row>
    <x:row r="37">
      <x:c r="A37" s="7" t="n">
        <x:v>46037</x:v>
      </x:c>
      <x:c r="B37" s="10" t="inlineStr">
        <x:is>
          <x:t xml:space="preserve">Ocio</x:t>
        </x:is>
      </x:c>
      <x:c r="C37" s="8" t="inlineStr">
        <x:is>
          <x:t xml:space="preserve">Gasto</x:t>
        </x:is>
      </x:c>
      <x:c r="D37" s="8" t="inlineStr">
        <x:is>
          <x:t xml:space="preserve">Deseos</x:t>
        </x:is>
      </x:c>
      <x:c r="E37" s="8" t="inlineStr">
        <x:is>
          <x:t xml:space="preserve">Ocio</x:t>
        </x:is>
      </x:c>
      <x:c r="F37" s="8" t="inlineStr">
        <x:is>
          <x:t xml:space="preserve">Domiciliación</x:t>
        </x:is>
      </x:c>
      <x:c r="G37" s="8" t="inlineStr">
        <x:is>
          <x:t xml:space="preserve">Cuenta corriente</x:t>
        </x:is>
      </x:c>
      <x:c r="H37" s="9" t="n">
        <x:v>235.67</x:v>
      </x:c>
      <x:c r="I37" s="10" t="inlineStr">
        <x:is>
          <x:t xml:space="preserve"/>
        </x:is>
      </x:c>
      <x:c r="J37" s="8" t="inlineStr">
        <x:is>
          <x:t xml:space="preserve">2026-01</x:t>
        </x:is>
      </x:c>
    </x:row>
    <x:row r="38">
      <x:c r="A38" s="7" t="n">
        <x:v>46040</x:v>
      </x:c>
      <x:c r="B38" s="10" t="inlineStr">
        <x:is>
          <x:t xml:space="preserve">Fondo emergencia</x:t>
        </x:is>
      </x:c>
      <x:c r="C38" s="8" t="inlineStr">
        <x:is>
          <x:t xml:space="preserve">Gasto</x:t>
        </x:is>
      </x:c>
      <x:c r="D38" s="8" t="inlineStr">
        <x:is>
          <x:t xml:space="preserve">Ahorro/Inversión</x:t>
        </x:is>
      </x:c>
      <x:c r="E38" s="8" t="inlineStr">
        <x:is>
          <x:t xml:space="preserve">Fondo emergencia</x:t>
        </x:is>
      </x:c>
      <x:c r="F38" s="8" t="inlineStr">
        <x:is>
          <x:t xml:space="preserve">Domiciliación</x:t>
        </x:is>
      </x:c>
      <x:c r="G38" s="8" t="inlineStr">
        <x:is>
          <x:t xml:space="preserve">Tarjeta</x:t>
        </x:is>
      </x:c>
      <x:c r="H38" s="9" t="n">
        <x:v>221.65</x:v>
      </x:c>
      <x:c r="I38" s="10" t="inlineStr">
        <x:is>
          <x:t xml:space="preserve"/>
        </x:is>
      </x:c>
      <x:c r="J38" s="8" t="inlineStr">
        <x:is>
          <x:t xml:space="preserve">2026-01</x:t>
        </x:is>
      </x:c>
    </x:row>
    <x:row r="39">
      <x:c r="A39" s="7" t="n">
        <x:v>46041</x:v>
      </x:c>
      <x:c r="B39" s="10" t="inlineStr">
        <x:is>
          <x:t xml:space="preserve">Sueldo</x:t>
        </x:is>
      </x:c>
      <x:c r="C39" s="8" t="inlineStr">
        <x:is>
          <x:t xml:space="preserve">Ingreso</x:t>
        </x:is>
      </x:c>
      <x:c r="D39" s="8" t="inlineStr">
        <x:is>
          <x:t xml:space="preserve">Ingreso</x:t>
        </x:is>
      </x:c>
      <x:c r="E39" s="8" t="inlineStr">
        <x:is>
          <x:t xml:space="preserve">Sueldo</x:t>
        </x:is>
      </x:c>
      <x:c r="F39" s="8" t="inlineStr">
        <x:is>
          <x:t xml:space="preserve">Domiciliación</x:t>
        </x:is>
      </x:c>
      <x:c r="G39" s="8" t="inlineStr">
        <x:is>
          <x:t xml:space="preserve">Cuenta corriente</x:t>
        </x:is>
      </x:c>
      <x:c r="H39" s="9" t="n">
        <x:v>2275.28</x:v>
      </x:c>
      <x:c r="I39" s="10" t="inlineStr">
        <x:is>
          <x:t xml:space="preserve">extra</x:t>
        </x:is>
      </x:c>
      <x:c r="J39" s="8" t="inlineStr">
        <x:is>
          <x:t xml:space="preserve">2026-01</x:t>
        </x:is>
      </x:c>
    </x:row>
    <x:row r="40">
      <x:c r="A40" s="7" t="n">
        <x:v>46044</x:v>
      </x:c>
      <x:c r="B40" s="10" t="inlineStr">
        <x:is>
          <x:t xml:space="preserve">Viajes</x:t>
        </x:is>
      </x:c>
      <x:c r="C40" s="8" t="inlineStr">
        <x:is>
          <x:t xml:space="preserve">Gasto</x:t>
        </x:is>
      </x:c>
      <x:c r="D40" s="8" t="inlineStr">
        <x:is>
          <x:t xml:space="preserve">Deseos</x:t>
        </x:is>
      </x:c>
      <x:c r="E40" s="8" t="inlineStr">
        <x:is>
          <x:t xml:space="preserve">Viajes</x:t>
        </x:is>
      </x:c>
      <x:c r="F40" s="8" t="inlineStr">
        <x:is>
          <x:t xml:space="preserve">Domiciliación</x:t>
        </x:is>
      </x:c>
      <x:c r="G40" s="8" t="inlineStr">
        <x:is>
          <x:t xml:space="preserve">Tarjeta</x:t>
        </x:is>
      </x:c>
      <x:c r="H40" s="9" t="n">
        <x:v>192.26</x:v>
      </x:c>
      <x:c r="I40" s="10" t="inlineStr">
        <x:is>
          <x:t xml:space="preserve">extra</x:t>
        </x:is>
      </x:c>
      <x:c r="J40" s="8" t="inlineStr">
        <x:is>
          <x:t xml:space="preserve">2026-01</x:t>
        </x:is>
      </x:c>
    </x:row>
    <x:row r="41">
      <x:c r="A41" s="7" t="n">
        <x:v>46045</x:v>
      </x:c>
      <x:c r="B41" s="10" t="inlineStr">
        <x:is>
          <x:t xml:space="preserve">IRPEF</x:t>
        </x:is>
      </x:c>
      <x:c r="C41" s="8" t="inlineStr">
        <x:is>
          <x:t xml:space="preserve">Gasto</x:t>
        </x:is>
      </x:c>
      <x:c r="D41" s="8" t="inlineStr">
        <x:is>
          <x:t xml:space="preserve">Impuestos</x:t>
        </x:is>
      </x:c>
      <x:c r="E41" s="8" t="inlineStr">
        <x:is>
          <x:t xml:space="preserve">IRPEF</x:t>
        </x:is>
      </x:c>
      <x:c r="F41" s="8" t="inlineStr">
        <x:is>
          <x:t xml:space="preserve">Tarjeta</x:t>
        </x:is>
      </x:c>
      <x:c r="G41" s="8" t="inlineStr">
        <x:is>
          <x:t xml:space="preserve">Revolut</x:t>
        </x:is>
      </x:c>
      <x:c r="H41" s="9" t="n">
        <x:v>71.28</x:v>
      </x:c>
      <x:c r="I41" s="10" t="inlineStr">
        <x:is>
          <x:t xml:space="preserve"/>
        </x:is>
      </x:c>
      <x:c r="J41" s="8" t="inlineStr">
        <x:is>
          <x:t xml:space="preserve">2026-01</x:t>
        </x:is>
      </x:c>
    </x:row>
    <x:row r="42">
      <x:c r="A42" s="7" t="n">
        <x:v>46047</x:v>
      </x:c>
      <x:c r="B42" s="10" t="inlineStr">
        <x:is>
          <x:t xml:space="preserve">Restaurantes</x:t>
        </x:is>
      </x:c>
      <x:c r="C42" s="8" t="inlineStr">
        <x:is>
          <x:t xml:space="preserve">Gasto</x:t>
        </x:is>
      </x:c>
      <x:c r="D42" s="8" t="inlineStr">
        <x:is>
          <x:t xml:space="preserve">Deseos</x:t>
        </x:is>
      </x:c>
      <x:c r="E42" s="8" t="inlineStr">
        <x:is>
          <x:t xml:space="preserve">Restaurantes</x:t>
        </x:is>
      </x:c>
      <x:c r="F42" s="8" t="inlineStr">
        <x:is>
          <x:t xml:space="preserve">Domiciliación</x:t>
        </x:is>
      </x:c>
      <x:c r="G42" s="8" t="inlineStr">
        <x:is>
          <x:t xml:space="preserve">Tarjeta</x:t>
        </x:is>
      </x:c>
      <x:c r="H42" s="9" t="n">
        <x:v>115.82</x:v>
      </x:c>
      <x:c r="I42" s="10" t="inlineStr">
        <x:is>
          <x:t xml:space="preserve">extra</x:t>
        </x:is>
      </x:c>
      <x:c r="J42" s="8" t="inlineStr">
        <x:is>
          <x:t xml:space="preserve">2026-01</x:t>
        </x:is>
      </x:c>
    </x:row>
    <x:row r="43">
      <x:c r="A43" s="7" t="n">
        <x:v>46048</x:v>
      </x:c>
      <x:c r="B43" s="10" t="inlineStr">
        <x:is>
          <x:t xml:space="preserve">Ocio</x:t>
        </x:is>
      </x:c>
      <x:c r="C43" s="8" t="inlineStr">
        <x:is>
          <x:t xml:space="preserve">Gasto</x:t>
        </x:is>
      </x:c>
      <x:c r="D43" s="8" t="inlineStr">
        <x:is>
          <x:t xml:space="preserve">Deseos</x:t>
        </x:is>
      </x:c>
      <x:c r="E43" s="8" t="inlineStr">
        <x:is>
          <x:t xml:space="preserve">Ocio</x:t>
        </x:is>
      </x:c>
      <x:c r="F43" s="8" t="inlineStr">
        <x:is>
          <x:t xml:space="preserve">Efectivo</x:t>
        </x:is>
      </x:c>
      <x:c r="G43" s="8" t="inlineStr">
        <x:is>
          <x:t xml:space="preserve">Tarjeta</x:t>
        </x:is>
      </x:c>
      <x:c r="H43" s="9" t="n">
        <x:v>241.59</x:v>
      </x:c>
      <x:c r="I43" s="10" t="inlineStr">
        <x:is>
          <x:t xml:space="preserve">extra</x:t>
        </x:is>
      </x:c>
      <x:c r="J43" s="8" t="inlineStr">
        <x:is>
          <x:t xml:space="preserve">2026-01</x:t>
        </x:is>
      </x:c>
    </x:row>
    <x:row r="44">
      <x:c r="A44" s="7" t="n">
        <x:v>46049</x:v>
      </x:c>
      <x:c r="B44" s="10" t="inlineStr">
        <x:is>
          <x:t xml:space="preserve">Servicios</x:t>
        </x:is>
      </x:c>
      <x:c r="C44" s="8" t="inlineStr">
        <x:is>
          <x:t xml:space="preserve">Gasto</x:t>
        </x:is>
      </x:c>
      <x:c r="D44" s="8" t="inlineStr">
        <x:is>
          <x:t xml:space="preserve">Necesidades</x:t>
        </x:is>
      </x:c>
      <x:c r="E44" s="8" t="inlineStr">
        <x:is>
          <x:t xml:space="preserve">Servicios</x:t>
        </x:is>
      </x:c>
      <x:c r="F44" s="8" t="inlineStr">
        <x:is>
          <x:t xml:space="preserve">Efectivo</x:t>
        </x:is>
      </x:c>
      <x:c r="G44" s="8" t="inlineStr">
        <x:is>
          <x:t xml:space="preserve">Cuenta corriente</x:t>
        </x:is>
      </x:c>
      <x:c r="H44" s="9" t="n">
        <x:v>86.22</x:v>
      </x:c>
      <x:c r="I44" s="10" t="inlineStr">
        <x:is>
          <x:t xml:space="preserve"/>
        </x:is>
      </x:c>
      <x:c r="J44" s="8" t="inlineStr">
        <x:is>
          <x:t xml:space="preserve">2026-01</x:t>
        </x:is>
      </x:c>
    </x:row>
    <x:row r="45">
      <x:c r="A45" s="7" t="n">
        <x:v>46049</x:v>
      </x:c>
      <x:c r="B45" s="10" t="inlineStr">
        <x:is>
          <x:t xml:space="preserve">ETF</x:t>
        </x:is>
      </x:c>
      <x:c r="C45" s="8" t="inlineStr">
        <x:is>
          <x:t xml:space="preserve">Gasto</x:t>
        </x:is>
      </x:c>
      <x:c r="D45" s="8" t="inlineStr">
        <x:is>
          <x:t xml:space="preserve">Ahorro/Inversión</x:t>
        </x:is>
      </x:c>
      <x:c r="E45" s="8" t="inlineStr">
        <x:is>
          <x:t xml:space="preserve">ETF</x:t>
        </x:is>
      </x:c>
      <x:c r="F45" s="8" t="inlineStr">
        <x:is>
          <x:t xml:space="preserve">Transferencia</x:t>
        </x:is>
      </x:c>
      <x:c r="G45" s="8" t="inlineStr">
        <x:is>
          <x:t xml:space="preserve">Cuenta corriente</x:t>
        </x:is>
      </x:c>
      <x:c r="H45" s="9" t="n">
        <x:v>173.25</x:v>
      </x:c>
      <x:c r="I45" s="10" t="inlineStr">
        <x:is>
          <x:t xml:space="preserve">extra</x:t>
        </x:is>
      </x:c>
      <x:c r="J45" s="8" t="inlineStr">
        <x:is>
          <x:t xml:space="preserve">2026-01</x:t>
        </x:is>
      </x:c>
    </x:row>
    <x:row r="46">
      <x:c r="A46" s="7" t="n">
        <x:v>46052</x:v>
      </x:c>
      <x:c r="B46" s="10" t="inlineStr">
        <x:is>
          <x:t xml:space="preserve">Transporte</x:t>
        </x:is>
      </x:c>
      <x:c r="C46" s="8" t="inlineStr">
        <x:is>
          <x:t xml:space="preserve">Gasto</x:t>
        </x:is>
      </x:c>
      <x:c r="D46" s="8" t="inlineStr">
        <x:is>
          <x:t xml:space="preserve">Necesidades</x:t>
        </x:is>
      </x:c>
      <x:c r="E46" s="8" t="inlineStr">
        <x:is>
          <x:t xml:space="preserve">Transporte</x:t>
        </x:is>
      </x:c>
      <x:c r="F46" s="8" t="inlineStr">
        <x:is>
          <x:t xml:space="preserve">Efectivo</x:t>
        </x:is>
      </x:c>
      <x:c r="G46" s="8" t="inlineStr">
        <x:is>
          <x:t xml:space="preserve">Tarjeta</x:t>
        </x:is>
      </x:c>
      <x:c r="H46" s="9" t="n">
        <x:v>29.92</x:v>
      </x:c>
      <x:c r="I46" s="10" t="inlineStr">
        <x:is>
          <x:t xml:space="preserve">recurrente</x:t>
        </x:is>
      </x:c>
      <x:c r="J46" s="8" t="inlineStr">
        <x:is>
          <x:t xml:space="preserve">2026-01</x:t>
        </x:is>
      </x:c>
    </x:row>
    <x:row r="47">
      <x:c r="A47" s="7" t="n">
        <x:v>46053</x:v>
      </x:c>
      <x:c r="B47" s="10" t="inlineStr">
        <x:is>
          <x:t xml:space="preserve">Servicios</x:t>
        </x:is>
      </x:c>
      <x:c r="C47" s="8" t="inlineStr">
        <x:is>
          <x:t xml:space="preserve">Gasto</x:t>
        </x:is>
      </x:c>
      <x:c r="D47" s="8" t="inlineStr">
        <x:is>
          <x:t xml:space="preserve">Necesidades</x:t>
        </x:is>
      </x:c>
      <x:c r="E47" s="8" t="inlineStr">
        <x:is>
          <x:t xml:space="preserve">Servicios</x:t>
        </x:is>
      </x:c>
      <x:c r="F47" s="8" t="inlineStr">
        <x:is>
          <x:t xml:space="preserve">Transferencia</x:t>
        </x:is>
      </x:c>
      <x:c r="G47" s="8" t="inlineStr">
        <x:is>
          <x:t xml:space="preserve">Efectivo</x:t>
        </x:is>
      </x:c>
      <x:c r="H47" s="9" t="n">
        <x:v>98.8</x:v>
      </x:c>
      <x:c r="I47" s="10" t="inlineStr">
        <x:is>
          <x:t xml:space="preserve">extra</x:t>
        </x:is>
      </x:c>
      <x:c r="J47" s="8" t="inlineStr">
        <x:is>
          <x:t xml:space="preserve">2026-01</x:t>
        </x:is>
      </x:c>
    </x:row>
    <x:row r="48">
      <x:c r="A48" s="7" t="n">
        <x:v>46056</x:v>
      </x:c>
      <x:c r="B48" s="10" t="inlineStr">
        <x:is>
          <x:t xml:space="preserve">Comida</x:t>
        </x:is>
      </x:c>
      <x:c r="C48" s="8" t="inlineStr">
        <x:is>
          <x:t xml:space="preserve">Gasto</x:t>
        </x:is>
      </x:c>
      <x:c r="D48" s="8" t="inlineStr">
        <x:is>
          <x:t xml:space="preserve">Necesidades</x:t>
        </x:is>
      </x:c>
      <x:c r="E48" s="8" t="inlineStr">
        <x:is>
          <x:t xml:space="preserve">Comida</x:t>
        </x:is>
      </x:c>
      <x:c r="F48" s="8" t="inlineStr">
        <x:is>
          <x:t xml:space="preserve">Transferencia</x:t>
        </x:is>
      </x:c>
      <x:c r="G48" s="8" t="inlineStr">
        <x:is>
          <x:t xml:space="preserve">Revolut</x:t>
        </x:is>
      </x:c>
      <x:c r="H48" s="9" t="n">
        <x:v>126.45</x:v>
      </x:c>
      <x:c r="I48" s="10" t="inlineStr">
        <x:is>
          <x:t xml:space="preserve">recurrente</x:t>
        </x:is>
      </x:c>
      <x:c r="J48" s="8" t="inlineStr">
        <x:is>
          <x:t xml:space="preserve">2026-02</x:t>
        </x:is>
      </x:c>
    </x:row>
    <x:row r="49">
      <x:c r="A49" s="7" t="n">
        <x:v>46059</x:v>
      </x:c>
      <x:c r="B49" s="10" t="inlineStr">
        <x:is>
          <x:t xml:space="preserve">Fondo emergencia</x:t>
        </x:is>
      </x:c>
      <x:c r="C49" s="8" t="inlineStr">
        <x:is>
          <x:t xml:space="preserve">Gasto</x:t>
        </x:is>
      </x:c>
      <x:c r="D49" s="8" t="inlineStr">
        <x:is>
          <x:t xml:space="preserve">Ahorro/Inversión</x:t>
        </x:is>
      </x:c>
      <x:c r="E49" s="8" t="inlineStr">
        <x:is>
          <x:t xml:space="preserve">Fondo emergencia</x:t>
        </x:is>
      </x:c>
      <x:c r="F49" s="8" t="inlineStr">
        <x:is>
          <x:t xml:space="preserve">Efectivo</x:t>
        </x:is>
      </x:c>
      <x:c r="G49" s="8" t="inlineStr">
        <x:is>
          <x:t xml:space="preserve">Efectivo</x:t>
        </x:is>
      </x:c>
      <x:c r="H49" s="9" t="n">
        <x:v>165.72</x:v>
      </x:c>
      <x:c r="I49" s="10" t="inlineStr">
        <x:is>
          <x:t xml:space="preserve"/>
        </x:is>
      </x:c>
      <x:c r="J49" s="8" t="inlineStr">
        <x:is>
          <x:t xml:space="preserve">2026-02</x:t>
        </x:is>
      </x:c>
    </x:row>
    <x:row r="50">
      <x:c r="A50" s="7" t="n">
        <x:v>46060</x:v>
      </x:c>
      <x:c r="B50" s="10" t="inlineStr">
        <x:is>
          <x:t xml:space="preserve">Fondo emergencia</x:t>
        </x:is>
      </x:c>
      <x:c r="C50" s="8" t="inlineStr">
        <x:is>
          <x:t xml:space="preserve">Gasto</x:t>
        </x:is>
      </x:c>
      <x:c r="D50" s="8" t="inlineStr">
        <x:is>
          <x:t xml:space="preserve">Ahorro/Inversión</x:t>
        </x:is>
      </x:c>
      <x:c r="E50" s="8" t="inlineStr">
        <x:is>
          <x:t xml:space="preserve">Fondo emergencia</x:t>
        </x:is>
      </x:c>
      <x:c r="F50" s="8" t="inlineStr">
        <x:is>
          <x:t xml:space="preserve">Domiciliación</x:t>
        </x:is>
      </x:c>
      <x:c r="G50" s="8" t="inlineStr">
        <x:is>
          <x:t xml:space="preserve">Revolut</x:t>
        </x:is>
      </x:c>
      <x:c r="H50" s="9" t="n">
        <x:v>41.6</x:v>
      </x:c>
      <x:c r="I50" s="10" t="inlineStr">
        <x:is>
          <x:t xml:space="preserve"/>
        </x:is>
      </x:c>
      <x:c r="J50" s="8" t="inlineStr">
        <x:is>
          <x:t xml:space="preserve">2026-02</x:t>
        </x:is>
      </x:c>
    </x:row>
    <x:row r="51">
      <x:c r="A51" s="7" t="n">
        <x:v>46060</x:v>
      </x:c>
      <x:c r="B51" s="10" t="inlineStr">
        <x:is>
          <x:t xml:space="preserve">Comida</x:t>
        </x:is>
      </x:c>
      <x:c r="C51" s="8" t="inlineStr">
        <x:is>
          <x:t xml:space="preserve">Gasto</x:t>
        </x:is>
      </x:c>
      <x:c r="D51" s="8" t="inlineStr">
        <x:is>
          <x:t xml:space="preserve">Necesidades</x:t>
        </x:is>
      </x:c>
      <x:c r="E51" s="8" t="inlineStr">
        <x:is>
          <x:t xml:space="preserve">Comida</x:t>
        </x:is>
      </x:c>
      <x:c r="F51" s="8" t="inlineStr">
        <x:is>
          <x:t xml:space="preserve">Tarjeta</x:t>
        </x:is>
      </x:c>
      <x:c r="G51" s="8" t="inlineStr">
        <x:is>
          <x:t xml:space="preserve">Revolut</x:t>
        </x:is>
      </x:c>
      <x:c r="H51" s="9" t="n">
        <x:v>88.78</x:v>
      </x:c>
      <x:c r="I51" s="10" t="inlineStr">
        <x:is>
          <x:t xml:space="preserve">recurrente</x:t>
        </x:is>
      </x:c>
      <x:c r="J51" s="8" t="inlineStr">
        <x:is>
          <x:t xml:space="preserve">2026-02</x:t>
        </x:is>
      </x:c>
    </x:row>
    <x:row r="52">
      <x:c r="A52" s="7" t="n">
        <x:v>46060</x:v>
      </x:c>
      <x:c r="B52" s="10" t="inlineStr">
        <x:is>
          <x:t xml:space="preserve">Tasa municipal</x:t>
        </x:is>
      </x:c>
      <x:c r="C52" s="8" t="inlineStr">
        <x:is>
          <x:t xml:space="preserve">Ahorro</x:t>
        </x:is>
      </x:c>
      <x:c r="D52" s="8" t="inlineStr">
        <x:is>
          <x:t xml:space="preserve">Ahorro/Inversión</x:t>
        </x:is>
      </x:c>
      <x:c r="E52" s="8" t="inlineStr">
        <x:is>
          <x:t xml:space="preserve">Tasa municipal</x:t>
        </x:is>
      </x:c>
      <x:c r="F52" s="8" t="inlineStr">
        <x:is>
          <x:t xml:space="preserve">Domiciliación</x:t>
        </x:is>
      </x:c>
      <x:c r="G52" s="8" t="inlineStr">
        <x:is>
          <x:t xml:space="preserve">Efectivo</x:t>
        </x:is>
      </x:c>
      <x:c r="H52" s="9" t="n">
        <x:v>5.04</x:v>
      </x:c>
      <x:c r="I52" s="10" t="inlineStr">
        <x:is>
          <x:t xml:space="preserve"/>
        </x:is>
      </x:c>
      <x:c r="J52" s="8" t="inlineStr">
        <x:is>
          <x:t xml:space="preserve">2026-02</x:t>
        </x:is>
      </x:c>
    </x:row>
    <x:row r="53">
      <x:c r="A53" s="7" t="n">
        <x:v>46061</x:v>
      </x:c>
      <x:c r="B53" s="10" t="inlineStr">
        <x:is>
          <x:t xml:space="preserve">IRPEF</x:t>
        </x:is>
      </x:c>
      <x:c r="C53" s="8" t="inlineStr">
        <x:is>
          <x:t xml:space="preserve">Gasto</x:t>
        </x:is>
      </x:c>
      <x:c r="D53" s="8" t="inlineStr">
        <x:is>
          <x:t xml:space="preserve">Impuestos</x:t>
        </x:is>
      </x:c>
      <x:c r="E53" s="8" t="inlineStr">
        <x:is>
          <x:t xml:space="preserve">IRPEF</x:t>
        </x:is>
      </x:c>
      <x:c r="F53" s="8" t="inlineStr">
        <x:is>
          <x:t xml:space="preserve">Tarjeta</x:t>
        </x:is>
      </x:c>
      <x:c r="G53" s="8" t="inlineStr">
        <x:is>
          <x:t xml:space="preserve">Revolut</x:t>
        </x:is>
      </x:c>
      <x:c r="H53" s="9" t="n">
        <x:v>92.37</x:v>
      </x:c>
      <x:c r="I53" s="10" t="inlineStr">
        <x:is>
          <x:t xml:space="preserve"/>
        </x:is>
      </x:c>
      <x:c r="J53" s="8" t="inlineStr">
        <x:is>
          <x:t xml:space="preserve">2026-02</x:t>
        </x:is>
      </x:c>
    </x:row>
    <x:row r="54">
      <x:c r="A54" s="7" t="n">
        <x:v>46063</x:v>
      </x:c>
      <x:c r="B54" s="10" t="inlineStr">
        <x:is>
          <x:t xml:space="preserve">Sueldo</x:t>
        </x:is>
      </x:c>
      <x:c r="C54" s="8" t="inlineStr">
        <x:is>
          <x:t xml:space="preserve">Ingreso</x:t>
        </x:is>
      </x:c>
      <x:c r="D54" s="8" t="inlineStr">
        <x:is>
          <x:t xml:space="preserve">Ingreso</x:t>
        </x:is>
      </x:c>
      <x:c r="E54" s="8" t="inlineStr">
        <x:is>
          <x:t xml:space="preserve">Sueldo</x:t>
        </x:is>
      </x:c>
      <x:c r="F54" s="8" t="inlineStr">
        <x:is>
          <x:t xml:space="preserve">Domiciliación</x:t>
        </x:is>
      </x:c>
      <x:c r="G54" s="8" t="inlineStr">
        <x:is>
          <x:t xml:space="preserve">Efectivo</x:t>
        </x:is>
      </x:c>
      <x:c r="H54" s="9" t="n">
        <x:v>2327.57</x:v>
      </x:c>
      <x:c r="I54" s="10" t="inlineStr">
        <x:is>
          <x:t xml:space="preserve"/>
        </x:is>
      </x:c>
      <x:c r="J54" s="8" t="inlineStr">
        <x:is>
          <x:t xml:space="preserve">2026-02</x:t>
        </x:is>
      </x:c>
    </x:row>
    <x:row r="55">
      <x:c r="A55" s="7" t="n">
        <x:v>46063</x:v>
      </x:c>
      <x:c r="B55" s="10" t="inlineStr">
        <x:is>
          <x:t xml:space="preserve">Viajes</x:t>
        </x:is>
      </x:c>
      <x:c r="C55" s="8" t="inlineStr">
        <x:is>
          <x:t xml:space="preserve">Gasto</x:t>
        </x:is>
      </x:c>
      <x:c r="D55" s="8" t="inlineStr">
        <x:is>
          <x:t xml:space="preserve">Deseos</x:t>
        </x:is>
      </x:c>
      <x:c r="E55" s="8" t="inlineStr">
        <x:is>
          <x:t xml:space="preserve">Viajes</x:t>
        </x:is>
      </x:c>
      <x:c r="F55" s="8" t="inlineStr">
        <x:is>
          <x:t xml:space="preserve">Domiciliación</x:t>
        </x:is>
      </x:c>
      <x:c r="G55" s="8" t="inlineStr">
        <x:is>
          <x:t xml:space="preserve">Cuenta corriente</x:t>
        </x:is>
      </x:c>
      <x:c r="H55" s="9" t="n">
        <x:v>69.63</x:v>
      </x:c>
      <x:c r="I55" s="10" t="inlineStr">
        <x:is>
          <x:t xml:space="preserve"/>
        </x:is>
      </x:c>
      <x:c r="J55" s="8" t="inlineStr">
        <x:is>
          <x:t xml:space="preserve">2026-02</x:t>
        </x:is>
      </x:c>
    </x:row>
    <x:row r="56">
      <x:c r="A56" s="7" t="n">
        <x:v>46064</x:v>
      </x:c>
      <x:c r="B56" s="10" t="inlineStr">
        <x:is>
          <x:t xml:space="preserve">Sueldo</x:t>
        </x:is>
      </x:c>
      <x:c r="C56" s="8" t="inlineStr">
        <x:is>
          <x:t xml:space="preserve">Ingreso</x:t>
        </x:is>
      </x:c>
      <x:c r="D56" s="8" t="inlineStr">
        <x:is>
          <x:t xml:space="preserve">Ingreso</x:t>
        </x:is>
      </x:c>
      <x:c r="E56" s="8" t="inlineStr">
        <x:is>
          <x:t xml:space="preserve">Sueldo</x:t>
        </x:is>
      </x:c>
      <x:c r="F56" s="8" t="inlineStr">
        <x:is>
          <x:t xml:space="preserve">Domiciliación</x:t>
        </x:is>
      </x:c>
      <x:c r="G56" s="8" t="inlineStr">
        <x:is>
          <x:t xml:space="preserve">Revolut</x:t>
        </x:is>
      </x:c>
      <x:c r="H56" s="9" t="n">
        <x:v>2397.72</x:v>
      </x:c>
      <x:c r="I56" s="10" t="inlineStr">
        <x:is>
          <x:t xml:space="preserve">recurrente</x:t>
        </x:is>
      </x:c>
      <x:c r="J56" s="8" t="inlineStr">
        <x:is>
          <x:t xml:space="preserve">2026-02</x:t>
        </x:is>
      </x:c>
    </x:row>
    <x:row r="57">
      <x:c r="A57" s="7" t="n">
        <x:v>46064</x:v>
      </x:c>
      <x:c r="B57" s="10" t="inlineStr">
        <x:is>
          <x:t xml:space="preserve">Sueldo</x:t>
        </x:is>
      </x:c>
      <x:c r="C57" s="8" t="inlineStr">
        <x:is>
          <x:t xml:space="preserve">Ingreso</x:t>
        </x:is>
      </x:c>
      <x:c r="D57" s="8" t="inlineStr">
        <x:is>
          <x:t xml:space="preserve">Ingreso</x:t>
        </x:is>
      </x:c>
      <x:c r="E57" s="8" t="inlineStr">
        <x:is>
          <x:t xml:space="preserve">Sueldo</x:t>
        </x:is>
      </x:c>
      <x:c r="F57" s="8" t="inlineStr">
        <x:is>
          <x:t xml:space="preserve">Domiciliación</x:t>
        </x:is>
      </x:c>
      <x:c r="G57" s="8" t="inlineStr">
        <x:is>
          <x:t xml:space="preserve">Revolut</x:t>
        </x:is>
      </x:c>
      <x:c r="H57" s="9" t="n">
        <x:v>2202.65</x:v>
      </x:c>
      <x:c r="I57" s="10" t="inlineStr">
        <x:is>
          <x:t xml:space="preserve"/>
        </x:is>
      </x:c>
      <x:c r="J57" s="8" t="inlineStr">
        <x:is>
          <x:t xml:space="preserve">2026-02</x:t>
        </x:is>
      </x:c>
    </x:row>
    <x:row r="58">
      <x:c r="A58" s="7" t="n">
        <x:v>46065</x:v>
      </x:c>
      <x:c r="B58" s="10" t="inlineStr">
        <x:is>
          <x:t xml:space="preserve">Restaurantes</x:t>
        </x:is>
      </x:c>
      <x:c r="C58" s="8" t="inlineStr">
        <x:is>
          <x:t xml:space="preserve">Gasto</x:t>
        </x:is>
      </x:c>
      <x:c r="D58" s="8" t="inlineStr">
        <x:is>
          <x:t xml:space="preserve">Deseos</x:t>
        </x:is>
      </x:c>
      <x:c r="E58" s="8" t="inlineStr">
        <x:is>
          <x:t xml:space="preserve">Restaurantes</x:t>
        </x:is>
      </x:c>
      <x:c r="F58" s="8" t="inlineStr">
        <x:is>
          <x:t xml:space="preserve">Domiciliación</x:t>
        </x:is>
      </x:c>
      <x:c r="G58" s="8" t="inlineStr">
        <x:is>
          <x:t xml:space="preserve">Cuenta corriente</x:t>
        </x:is>
      </x:c>
      <x:c r="H58" s="9" t="n">
        <x:v>244.64</x:v>
      </x:c>
      <x:c r="I58" s="10" t="inlineStr">
        <x:is>
          <x:t xml:space="preserve">extra</x:t>
        </x:is>
      </x:c>
      <x:c r="J58" s="8" t="inlineStr">
        <x:is>
          <x:t xml:space="preserve">2026-02</x:t>
        </x:is>
      </x:c>
    </x:row>
    <x:row r="59">
      <x:c r="A59" s="7" t="n">
        <x:v>46066</x:v>
      </x:c>
      <x:c r="B59" s="10" t="inlineStr">
        <x:is>
          <x:t xml:space="preserve">Transporte</x:t>
        </x:is>
      </x:c>
      <x:c r="C59" s="8" t="inlineStr">
        <x:is>
          <x:t xml:space="preserve">Gasto</x:t>
        </x:is>
      </x:c>
      <x:c r="D59" s="8" t="inlineStr">
        <x:is>
          <x:t xml:space="preserve">Necesidades</x:t>
        </x:is>
      </x:c>
      <x:c r="E59" s="8" t="inlineStr">
        <x:is>
          <x:t xml:space="preserve">Transporte</x:t>
        </x:is>
      </x:c>
      <x:c r="F59" s="8" t="inlineStr">
        <x:is>
          <x:t xml:space="preserve">Domiciliación</x:t>
        </x:is>
      </x:c>
      <x:c r="G59" s="8" t="inlineStr">
        <x:is>
          <x:t xml:space="preserve">Cuenta corriente</x:t>
        </x:is>
      </x:c>
      <x:c r="H59" s="9" t="n">
        <x:v>172.17</x:v>
      </x:c>
      <x:c r="I59" s="10" t="inlineStr">
        <x:is>
          <x:t xml:space="preserve"/>
        </x:is>
      </x:c>
      <x:c r="J59" s="8" t="inlineStr">
        <x:is>
          <x:t xml:space="preserve">2026-02</x:t>
        </x:is>
      </x:c>
    </x:row>
    <x:row r="60">
      <x:c r="A60" s="7" t="n">
        <x:v>46070</x:v>
      </x:c>
      <x:c r="B60" s="10" t="inlineStr">
        <x:is>
          <x:t xml:space="preserve">Restaurantes</x:t>
        </x:is>
      </x:c>
      <x:c r="C60" s="8" t="inlineStr">
        <x:is>
          <x:t xml:space="preserve">Gasto</x:t>
        </x:is>
      </x:c>
      <x:c r="D60" s="8" t="inlineStr">
        <x:is>
          <x:t xml:space="preserve">Deseos</x:t>
        </x:is>
      </x:c>
      <x:c r="E60" s="8" t="inlineStr">
        <x:is>
          <x:t xml:space="preserve">Restaurantes</x:t>
        </x:is>
      </x:c>
      <x:c r="F60" s="8" t="inlineStr">
        <x:is>
          <x:t xml:space="preserve">Transferencia</x:t>
        </x:is>
      </x:c>
      <x:c r="G60" s="8" t="inlineStr">
        <x:is>
          <x:t xml:space="preserve">Efectivo</x:t>
        </x:is>
      </x:c>
      <x:c r="H60" s="9" t="n">
        <x:v>53.66</x:v>
      </x:c>
      <x:c r="I60" s="10" t="inlineStr">
        <x:is>
          <x:t xml:space="preserve">extra</x:t>
        </x:is>
      </x:c>
      <x:c r="J60" s="8" t="inlineStr">
        <x:is>
          <x:t xml:space="preserve">2026-02</x:t>
        </x:is>
      </x:c>
    </x:row>
    <x:row r="61">
      <x:c r="A61" s="7" t="n">
        <x:v>46071</x:v>
      </x:c>
      <x:c r="B61" s="10" t="inlineStr">
        <x:is>
          <x:t xml:space="preserve">ETF</x:t>
        </x:is>
      </x:c>
      <x:c r="C61" s="8" t="inlineStr">
        <x:is>
          <x:t xml:space="preserve">Gasto</x:t>
        </x:is>
      </x:c>
      <x:c r="D61" s="8" t="inlineStr">
        <x:is>
          <x:t xml:space="preserve">Ahorro/Inversión</x:t>
        </x:is>
      </x:c>
      <x:c r="E61" s="8" t="inlineStr">
        <x:is>
          <x:t xml:space="preserve">ETF</x:t>
        </x:is>
      </x:c>
      <x:c r="F61" s="8" t="inlineStr">
        <x:is>
          <x:t xml:space="preserve">Domiciliación</x:t>
        </x:is>
      </x:c>
      <x:c r="G61" s="8" t="inlineStr">
        <x:is>
          <x:t xml:space="preserve">Efectivo</x:t>
        </x:is>
      </x:c>
      <x:c r="H61" s="9" t="n">
        <x:v>126.98</x:v>
      </x:c>
      <x:c r="I61" s="10" t="inlineStr">
        <x:is>
          <x:t xml:space="preserve"/>
        </x:is>
      </x:c>
      <x:c r="J61" s="8" t="inlineStr">
        <x:is>
          <x:t xml:space="preserve">2026-02</x:t>
        </x:is>
      </x:c>
    </x:row>
    <x:row r="62">
      <x:c r="A62" s="7" t="n">
        <x:v>46073</x:v>
      </x:c>
      <x:c r="B62" s="10" t="inlineStr">
        <x:is>
          <x:t xml:space="preserve">Ocio</x:t>
        </x:is>
      </x:c>
      <x:c r="C62" s="8" t="inlineStr">
        <x:is>
          <x:t xml:space="preserve">Ahorro</x:t>
        </x:is>
      </x:c>
      <x:c r="D62" s="8" t="inlineStr">
        <x:is>
          <x:t xml:space="preserve">Ahorro/Inversión</x:t>
        </x:is>
      </x:c>
      <x:c r="E62" s="8" t="inlineStr">
        <x:is>
          <x:t xml:space="preserve">Ocio</x:t>
        </x:is>
      </x:c>
      <x:c r="F62" s="8" t="inlineStr">
        <x:is>
          <x:t xml:space="preserve">Transferencia</x:t>
        </x:is>
      </x:c>
      <x:c r="G62" s="8" t="inlineStr">
        <x:is>
          <x:t xml:space="preserve">Tarjeta</x:t>
        </x:is>
      </x:c>
      <x:c r="H62" s="9" t="n">
        <x:v>195.13</x:v>
      </x:c>
      <x:c r="I62" s="10" t="inlineStr">
        <x:is>
          <x:t xml:space="preserve">recurrente</x:t>
        </x:is>
      </x:c>
      <x:c r="J62" s="8" t="inlineStr">
        <x:is>
          <x:t xml:space="preserve">2026-02</x:t>
        </x:is>
      </x:c>
    </x:row>
    <x:row r="63">
      <x:c r="A63" s="7" t="n">
        <x:v>46073</x:v>
      </x:c>
      <x:c r="B63" s="10" t="inlineStr">
        <x:is>
          <x:t xml:space="preserve">Sueldo</x:t>
        </x:is>
      </x:c>
      <x:c r="C63" s="8" t="inlineStr">
        <x:is>
          <x:t xml:space="preserve">Ingreso</x:t>
        </x:is>
      </x:c>
      <x:c r="D63" s="8" t="inlineStr">
        <x:is>
          <x:t xml:space="preserve">Ingreso</x:t>
        </x:is>
      </x:c>
      <x:c r="E63" s="8" t="inlineStr">
        <x:is>
          <x:t xml:space="preserve">Sueldo</x:t>
        </x:is>
      </x:c>
      <x:c r="F63" s="8" t="inlineStr">
        <x:is>
          <x:t xml:space="preserve">Efectivo</x:t>
        </x:is>
      </x:c>
      <x:c r="G63" s="8" t="inlineStr">
        <x:is>
          <x:t xml:space="preserve">Cuenta corriente</x:t>
        </x:is>
      </x:c>
      <x:c r="H63" s="9" t="n">
        <x:v>2294.72</x:v>
      </x:c>
      <x:c r="I63" s="10" t="inlineStr">
        <x:is>
          <x:t xml:space="preserve">extra</x:t>
        </x:is>
      </x:c>
      <x:c r="J63" s="8" t="inlineStr">
        <x:is>
          <x:t xml:space="preserve">2026-02</x:t>
        </x:is>
      </x:c>
    </x:row>
    <x:row r="64">
      <x:c r="A64" s="7" t="n">
        <x:v>46073</x:v>
      </x:c>
      <x:c r="B64" s="10" t="inlineStr">
        <x:is>
          <x:t xml:space="preserve">Tasa municipal</x:t>
        </x:is>
      </x:c>
      <x:c r="C64" s="8" t="inlineStr">
        <x:is>
          <x:t xml:space="preserve">Gasto</x:t>
        </x:is>
      </x:c>
      <x:c r="D64" s="8" t="inlineStr">
        <x:is>
          <x:t xml:space="preserve">Impuestos</x:t>
        </x:is>
      </x:c>
      <x:c r="E64" s="8" t="inlineStr">
        <x:is>
          <x:t xml:space="preserve">Tasa municipal</x:t>
        </x:is>
      </x:c>
      <x:c r="F64" s="8" t="inlineStr">
        <x:is>
          <x:t xml:space="preserve">Transferencia</x:t>
        </x:is>
      </x:c>
      <x:c r="G64" s="8" t="inlineStr">
        <x:is>
          <x:t xml:space="preserve">Efectivo</x:t>
        </x:is>
      </x:c>
      <x:c r="H64" s="9" t="n">
        <x:v>18.55</x:v>
      </x:c>
      <x:c r="I64" s="10" t="inlineStr">
        <x:is>
          <x:t xml:space="preserve"/>
        </x:is>
      </x:c>
      <x:c r="J64" s="8" t="inlineStr">
        <x:is>
          <x:t xml:space="preserve">2026-02</x:t>
        </x:is>
      </x:c>
    </x:row>
    <x:row r="65">
      <x:c r="A65" s="7" t="n">
        <x:v>46075</x:v>
      </x:c>
      <x:c r="B65" s="10" t="inlineStr">
        <x:is>
          <x:t xml:space="preserve">Fondo emergencia</x:t>
        </x:is>
      </x:c>
      <x:c r="C65" s="8" t="inlineStr">
        <x:is>
          <x:t xml:space="preserve">Gasto</x:t>
        </x:is>
      </x:c>
      <x:c r="D65" s="8" t="inlineStr">
        <x:is>
          <x:t xml:space="preserve">Ahorro/Inversión</x:t>
        </x:is>
      </x:c>
      <x:c r="E65" s="8" t="inlineStr">
        <x:is>
          <x:t xml:space="preserve">Fondo emergencia</x:t>
        </x:is>
      </x:c>
      <x:c r="F65" s="8" t="inlineStr">
        <x:is>
          <x:t xml:space="preserve">Domiciliación</x:t>
        </x:is>
      </x:c>
      <x:c r="G65" s="8" t="inlineStr">
        <x:is>
          <x:t xml:space="preserve">Tarjeta</x:t>
        </x:is>
      </x:c>
      <x:c r="H65" s="9" t="n">
        <x:v>167.31</x:v>
      </x:c>
      <x:c r="I65" s="10" t="inlineStr">
        <x:is>
          <x:t xml:space="preserve">recurrente</x:t>
        </x:is>
      </x:c>
      <x:c r="J65" s="8" t="inlineStr">
        <x:is>
          <x:t xml:space="preserve">2026-02</x:t>
        </x:is>
      </x:c>
    </x:row>
  </x:sheetData>
  <x:mergeCells>
    <x:mergeCell ref="K11:O11"/>
    <x:mergeCell ref="A1:S1"/>
    <x:mergeCell ref="K4:S4"/>
    <x:mergeCell ref="A4:J4"/>
    <x:mergeCell ref="K22:O22"/>
  </x:mergeCells>
  <x:pageMargins left="0.7" right="0.7" top="0.75" bottom="0.75" header="0.3" footer="0.3"/>
  <x:tableParts count="1">
    <x:tablePart xmlns:r="http://schemas.openxmlformats.org/officeDocument/2006/relationships" r:id="R8fa99b097000458a"/>
  </x:tableParts>
</x:worksheet>
</file>